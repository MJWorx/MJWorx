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Microsoft Excel\Projects\Supply_Chain_Data_Analysis\"/>
    </mc:Choice>
  </mc:AlternateContent>
  <bookViews>
    <workbookView xWindow="0" yWindow="0" windowWidth="15345" windowHeight="4635"/>
  </bookViews>
  <sheets>
    <sheet name="Pivot" sheetId="2" r:id="rId1"/>
    <sheet name="Master" sheetId="1" r:id="rId2"/>
  </sheets>
  <definedNames>
    <definedName name="_xlnm._FilterDatabase" localSheetId="1" hidden="1">Master!$A$1:$X$1</definedName>
    <definedName name="supply_chain_data" localSheetId="1">Master!$A$1:$X$101</definedName>
  </definedNames>
  <calcPr calcId="162913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upply_chain_data" type="6" refreshedVersion="6" background="1" saveData="1">
    <textPr codePage="437" sourceFile="E:\Power BI\Projects\Supply_Chain_Data_Analysis\supply_chain_data.csv" decimal="," thousands=" " comma="1">
      <textFields count="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<sst xmlns="http://schemas.openxmlformats.org/spreadsheetml/2006/main" count="1577" uniqueCount="762">
  <si>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</si>
  <si>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</si>
  <si>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</si>
  <si>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</si>
  <si>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</si>
  <si>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</si>
  <si>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</si>
  <si>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</si>
  <si>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</si>
  <si>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</si>
  <si>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</si>
  <si>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</si>
  <si>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</si>
  <si>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</si>
  <si>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</si>
  <si>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</si>
  <si>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</si>
  <si>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</si>
  <si>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</si>
  <si>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</si>
  <si>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</si>
  <si>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</si>
  <si>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</si>
  <si>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</si>
  <si>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</si>
  <si>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</si>
  <si>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69.80800554211577</t>
  </si>
  <si>
    <t>8661.996792392383</t>
  </si>
  <si>
    <t>Non-binary</t>
  </si>
  <si>
    <t>Carrier B</t>
  </si>
  <si>
    <t>2.956572139430807</t>
  </si>
  <si>
    <t>Supplier 3</t>
  </si>
  <si>
    <t>Mumbai</t>
  </si>
  <si>
    <t>46.27987924050832</t>
  </si>
  <si>
    <t>Pending</t>
  </si>
  <si>
    <t>0.22641036084992516</t>
  </si>
  <si>
    <t>Road</t>
  </si>
  <si>
    <t>Route B</t>
  </si>
  <si>
    <t>187.75207545920392</t>
  </si>
  <si>
    <t>skincare</t>
  </si>
  <si>
    <t>SKU1</t>
  </si>
  <si>
    <t>14.843523275084339</t>
  </si>
  <si>
    <t>7460.900065445849</t>
  </si>
  <si>
    <t>Female</t>
  </si>
  <si>
    <t>Carrier A</t>
  </si>
  <si>
    <t>9.71657477143131</t>
  </si>
  <si>
    <t>33.61676895373</t>
  </si>
  <si>
    <t>4.854068026388706</t>
  </si>
  <si>
    <t>503.0655791496692</t>
  </si>
  <si>
    <t>SKU2</t>
  </si>
  <si>
    <t>11.319683293090566</t>
  </si>
  <si>
    <t>9577.74962586873</t>
  </si>
  <si>
    <t>Unknown</t>
  </si>
  <si>
    <t>8.054479261732155</t>
  </si>
  <si>
    <t>Supplier 1</t>
  </si>
  <si>
    <t>30.688019348284204</t>
  </si>
  <si>
    <t>4.580592619199229</t>
  </si>
  <si>
    <t>Air</t>
  </si>
  <si>
    <t>Route C</t>
  </si>
  <si>
    <t>141.92028177151906</t>
  </si>
  <si>
    <t>SKU3</t>
  </si>
  <si>
    <t>61.163343016437736</t>
  </si>
  <si>
    <t>7766.836425685233</t>
  </si>
  <si>
    <t>Carrier C</t>
  </si>
  <si>
    <t>1.7295685635434288</t>
  </si>
  <si>
    <t>Supplier 5</t>
  </si>
  <si>
    <t>Kolkata</t>
  </si>
  <si>
    <t>35.62474139712503</t>
  </si>
  <si>
    <t>Fail</t>
  </si>
  <si>
    <t>4.74664862064775</t>
  </si>
  <si>
    <t>Rail</t>
  </si>
  <si>
    <t>Route A</t>
  </si>
  <si>
    <t>254.77615921928663</t>
  </si>
  <si>
    <t>SKU4</t>
  </si>
  <si>
    <t>4.805496036345893</t>
  </si>
  <si>
    <t>2686.505151567447</t>
  </si>
  <si>
    <t>3.8905479158706715</t>
  </si>
  <si>
    <t>Delhi</t>
  </si>
  <si>
    <t>92.06516059871285</t>
  </si>
  <si>
    <t>3.145579522833002</t>
  </si>
  <si>
    <t>923.4406317119222</t>
  </si>
  <si>
    <t>SKU5</t>
  </si>
  <si>
    <t>1.6999760138659377</t>
  </si>
  <si>
    <t>2828.348745975759</t>
  </si>
  <si>
    <t>4.444098864382293</t>
  </si>
  <si>
    <t>Supplier 4</t>
  </si>
  <si>
    <t>Bangalore</t>
  </si>
  <si>
    <t>56.7664755574318</t>
  </si>
  <si>
    <t>2.7791935115711617</t>
  </si>
  <si>
    <t>235.4612367355375</t>
  </si>
  <si>
    <t>SKU6</t>
  </si>
  <si>
    <t>4.078332863107945</t>
  </si>
  <si>
    <t>7823.476559531737</t>
  </si>
  <si>
    <t>Male</t>
  </si>
  <si>
    <t>3.8807633029520034</t>
  </si>
  <si>
    <t>1.0850685695870688</t>
  </si>
  <si>
    <t>1.0009106193041357</t>
  </si>
  <si>
    <t>Sea</t>
  </si>
  <si>
    <t>134.36909686103172</t>
  </si>
  <si>
    <t>cosmetics</t>
  </si>
  <si>
    <t>SKU7</t>
  </si>
  <si>
    <t>42.95838438246007</t>
  </si>
  <si>
    <t>8496.103813089838</t>
  </si>
  <si>
    <t>2.3483387844177805</t>
  </si>
  <si>
    <t>99.46610860359912</t>
  </si>
  <si>
    <t>0.3981771868506506</t>
  </si>
  <si>
    <t>802.0563118175586</t>
  </si>
  <si>
    <t>SKU8</t>
  </si>
  <si>
    <t>68.71759674852733</t>
  </si>
  <si>
    <t>7517.363210631127</t>
  </si>
  <si>
    <t>3.4047338570830266</t>
  </si>
  <si>
    <t>11.423027139565695</t>
  </si>
  <si>
    <t>2.7098626911099615</t>
  </si>
  <si>
    <t>505.55713422546415</t>
  </si>
  <si>
    <t>SKU9</t>
  </si>
  <si>
    <t>64.01573294127854</t>
  </si>
  <si>
    <t>4971.145987585558</t>
  </si>
  <si>
    <t>7.166645291048216</t>
  </si>
  <si>
    <t>Supplier 2</t>
  </si>
  <si>
    <t>Chennai</t>
  </si>
  <si>
    <t>47.95760163495158</t>
  </si>
  <si>
    <t>3.844614478767585</t>
  </si>
  <si>
    <t>995.9294614986417</t>
  </si>
  <si>
    <t>SKU10</t>
  </si>
  <si>
    <t>15.707795681912138</t>
  </si>
  <si>
    <t>2330.965802091949</t>
  </si>
  <si>
    <t>8.673211211278613</t>
  </si>
  <si>
    <t>96.52735278531091</t>
  </si>
  <si>
    <t>Pass</t>
  </si>
  <si>
    <t>1.7273139283559424</t>
  </si>
  <si>
    <t>806.103177702923</t>
  </si>
  <si>
    <t>SKU11</t>
  </si>
  <si>
    <t>90.63545998228867</t>
  </si>
  <si>
    <t>6099.944115581452</t>
  </si>
  <si>
    <t>4.523943124316663</t>
  </si>
  <si>
    <t>27.592363086663696</t>
  </si>
  <si>
    <t>0.02116982137299439</t>
  </si>
  <si>
    <t>126.72303340940725</t>
  </si>
  <si>
    <t>SKU12</t>
  </si>
  <si>
    <t>71.21338907536008</t>
  </si>
  <si>
    <t>2873.7414460214413</t>
  </si>
  <si>
    <t>1.325274010184522</t>
  </si>
  <si>
    <t>32.32128621342403</t>
  </si>
  <si>
    <t>2.1612537475559117</t>
  </si>
  <si>
    <t>402.9687890737706</t>
  </si>
  <si>
    <t>SKU13</t>
  </si>
  <si>
    <t>16.160393317379977</t>
  </si>
  <si>
    <t>4052.7384162378667</t>
  </si>
  <si>
    <t>9.537283061108338</t>
  </si>
  <si>
    <t>97.82905011017327</t>
  </si>
  <si>
    <t>1.6310742300715386</t>
  </si>
  <si>
    <t>547.2410051609685</t>
  </si>
  <si>
    <t>SKU14</t>
  </si>
  <si>
    <t>99.17132863862419</t>
  </si>
  <si>
    <t>8653.570926469802</t>
  </si>
  <si>
    <t>2.0397701894493316</t>
  </si>
  <si>
    <t>5.791436629862989</t>
  </si>
  <si>
    <t>0.10068285156509371</t>
  </si>
  <si>
    <t>929.2352899608896</t>
  </si>
  <si>
    <t>SKU15</t>
  </si>
  <si>
    <t>36.98924492862691</t>
  </si>
  <si>
    <t>5442.086785397673</t>
  </si>
  <si>
    <t>2.4220397232752044</t>
  </si>
  <si>
    <t>97.12128175147431</t>
  </si>
  <si>
    <t>2.264405761198549</t>
  </si>
  <si>
    <t>127.86180000162541</t>
  </si>
  <si>
    <t>SKU16</t>
  </si>
  <si>
    <t>7.547172109791272</t>
  </si>
  <si>
    <t>6453.797968176285</t>
  </si>
  <si>
    <t>4.191324585705502</t>
  </si>
  <si>
    <t>77.10634249785001</t>
  </si>
  <si>
    <t>1.012563089258049</t>
  </si>
  <si>
    <t>865.5257797712403</t>
  </si>
  <si>
    <t>SKU17</t>
  </si>
  <si>
    <t>81.46253436923702</t>
  </si>
  <si>
    <t>2629.396434845262</t>
  </si>
  <si>
    <t>3.585418958232342</t>
  </si>
  <si>
    <t>47.679680368355335</t>
  </si>
  <si>
    <t>0.10202075491817619</t>
  </si>
  <si>
    <t>670.9343907924103</t>
  </si>
  <si>
    <t>SKU18</t>
  </si>
  <si>
    <t>36.443627770460935</t>
  </si>
  <si>
    <t>9364.673505076173</t>
  </si>
  <si>
    <t>4.339224714110709</t>
  </si>
  <si>
    <t>27.10798085484392</t>
  </si>
  <si>
    <t>2.2319391107292637</t>
  </si>
  <si>
    <t>593.4802587206518</t>
  </si>
  <si>
    <t>SKU19</t>
  </si>
  <si>
    <t>51.12387008796474</t>
  </si>
  <si>
    <t>2553.495584991215</t>
  </si>
  <si>
    <t>4.742635882841877</t>
  </si>
  <si>
    <t>82.37332058799021</t>
  </si>
  <si>
    <t>3.6464508654170293</t>
  </si>
  <si>
    <t>477.30763109090344</t>
  </si>
  <si>
    <t>SKU20</t>
  </si>
  <si>
    <t>96.34107243996338</t>
  </si>
  <si>
    <t>8128.027696851192</t>
  </si>
  <si>
    <t>8.87833465092684</t>
  </si>
  <si>
    <t>65.68625960848863</t>
  </si>
  <si>
    <t>4.231416573534539</t>
  </si>
  <si>
    <t>493.87121531620585</t>
  </si>
  <si>
    <t>SKU21</t>
  </si>
  <si>
    <t>84.89386898495083</t>
  </si>
  <si>
    <t>7087.052696357437</t>
  </si>
  <si>
    <t>6.037883769218298</t>
  </si>
  <si>
    <t>61.73572895416093</t>
  </si>
  <si>
    <t>0.0186075676310149</t>
  </si>
  <si>
    <t>523.360914720158</t>
  </si>
  <si>
    <t>SKU22</t>
  </si>
  <si>
    <t>27.67978088650196</t>
  </si>
  <si>
    <t>2390.8078665561734</t>
  </si>
  <si>
    <t>9.56764892092304</t>
  </si>
  <si>
    <t>50.12083961297735</t>
  </si>
  <si>
    <t>2.591275473211116</t>
  </si>
  <si>
    <t>205.57199582694707</t>
  </si>
  <si>
    <t>SKU23</t>
  </si>
  <si>
    <t>4.324341185864164</t>
  </si>
  <si>
    <t>8858.367571011484</t>
  </si>
  <si>
    <t>2.924857601145554</t>
  </si>
  <si>
    <t>98.60995724270387</t>
  </si>
  <si>
    <t>1.3422915627227339</t>
  </si>
  <si>
    <t>196.32944611241268</t>
  </si>
  <si>
    <t>SKU24</t>
  </si>
  <si>
    <t>4.156308359311108</t>
  </si>
  <si>
    <t>9049.077860939897</t>
  </si>
  <si>
    <t>9.741291689284369</t>
  </si>
  <si>
    <t>40.382359702924816</t>
  </si>
  <si>
    <t>3.691310292628728</t>
  </si>
  <si>
    <t>758.7247726029383</t>
  </si>
  <si>
    <t>SKU25</t>
  </si>
  <si>
    <t>39.629343985092625</t>
  </si>
  <si>
    <t>2174.777054350654</t>
  </si>
  <si>
    <t>2.231073681281728</t>
  </si>
  <si>
    <t>78.28038311841539</t>
  </si>
  <si>
    <t>3.797231217114183</t>
  </si>
  <si>
    <t>458.53594573920907</t>
  </si>
  <si>
    <t>SKU26</t>
  </si>
  <si>
    <t>97.44694661789282</t>
  </si>
  <si>
    <t>3716.493325894037</t>
  </si>
  <si>
    <t>6.507548621078551</t>
  </si>
  <si>
    <t>15.972229757181761</t>
  </si>
  <si>
    <t>2.119319736724923</t>
  </si>
  <si>
    <t>617.8669164583772</t>
  </si>
  <si>
    <t>SKU27</t>
  </si>
  <si>
    <t>92.55736081240202</t>
  </si>
  <si>
    <t>2686.4572235759833</t>
  </si>
  <si>
    <t>7.406750952998074</t>
  </si>
  <si>
    <t>10.528245070042162</t>
  </si>
  <si>
    <t>2.864667837883373</t>
  </si>
  <si>
    <t>762.4591821556837</t>
  </si>
  <si>
    <t>SKU28</t>
  </si>
  <si>
    <t>2.397274705597141</t>
  </si>
  <si>
    <t>6117.324615083992</t>
  </si>
  <si>
    <t>9.898140508069222</t>
  </si>
  <si>
    <t>59.42938181069157</t>
  </si>
  <si>
    <t>0.815757079295672</t>
  </si>
  <si>
    <t>123.43702751182708</t>
  </si>
  <si>
    <t>SKU29</t>
  </si>
  <si>
    <t>63.44755918520733</t>
  </si>
  <si>
    <t>8318.903194617178</t>
  </si>
  <si>
    <t>8.100973145397031</t>
  </si>
  <si>
    <t>39.29287558606575</t>
  </si>
  <si>
    <t>3.878098936588488</t>
  </si>
  <si>
    <t>764.9353759407081</t>
  </si>
  <si>
    <t>SKU30</t>
  </si>
  <si>
    <t>8.022859210526393</t>
  </si>
  <si>
    <t>2766.342366866089</t>
  </si>
  <si>
    <t>8.954528315318015</t>
  </si>
  <si>
    <t>51.634893400109334</t>
  </si>
  <si>
    <t>0.9653947053523931</t>
  </si>
  <si>
    <t>880.080988247161</t>
  </si>
  <si>
    <t>SKU31</t>
  </si>
  <si>
    <t>50.8473930517187</t>
  </si>
  <si>
    <t>9655.135102719398</t>
  </si>
  <si>
    <t>2.6796609649814065</t>
  </si>
  <si>
    <t>60.25114566159808</t>
  </si>
  <si>
    <t>2.9890000066550746</t>
  </si>
  <si>
    <t>609.3792066184267</t>
  </si>
  <si>
    <t>SKU32</t>
  </si>
  <si>
    <t>79.20993601565672</t>
  </si>
  <si>
    <t>9571.550487327819</t>
  </si>
  <si>
    <t>6.599104901238584</t>
  </si>
  <si>
    <t>29.692467153749774</t>
  </si>
  <si>
    <t>1.946036119386113</t>
  </si>
  <si>
    <t>761.1739095148776</t>
  </si>
  <si>
    <t>SKU33</t>
  </si>
  <si>
    <t>64.7954350001556</t>
  </si>
  <si>
    <t>5149.9983504080365</t>
  </si>
  <si>
    <t>4.85827050343664</t>
  </si>
  <si>
    <t>23.853427512896133</t>
  </si>
  <si>
    <t>3.541046012250923</t>
  </si>
  <si>
    <t>371.255295519871</t>
  </si>
  <si>
    <t>SKU34</t>
  </si>
  <si>
    <t>37.46759232984246</t>
  </si>
  <si>
    <t>9061.710895507724</t>
  </si>
  <si>
    <t>1.019487570822119</t>
  </si>
  <si>
    <t>10.754272815029333</t>
  </si>
  <si>
    <t>0.6466045593720549</t>
  </si>
  <si>
    <t>510.3580004335235</t>
  </si>
  <si>
    <t>SKU35</t>
  </si>
  <si>
    <t>84.95778681635043</t>
  </si>
  <si>
    <t>6541.329344802465</t>
  </si>
  <si>
    <t>5.288189990327409</t>
  </si>
  <si>
    <t>58.004787044743765</t>
  </si>
  <si>
    <t>0.5411540980605811</t>
  </si>
  <si>
    <t>553.4204712303558</t>
  </si>
  <si>
    <t>SKU36</t>
  </si>
  <si>
    <t>9.813002578754052</t>
  </si>
  <si>
    <t>7573.402457848733</t>
  </si>
  <si>
    <t>2.107951267159081</t>
  </si>
  <si>
    <t>45.531364237162144</t>
  </si>
  <si>
    <t>3.8055333792433537</t>
  </si>
  <si>
    <t>403.8089742481805</t>
  </si>
  <si>
    <t>SKU37</t>
  </si>
  <si>
    <t>23.39984475261435</t>
  </si>
  <si>
    <t>2438.339930470029</t>
  </si>
  <si>
    <t>1.5326552735904306</t>
  </si>
  <si>
    <t>34.34327746507538</t>
  </si>
  <si>
    <t>2.610288084848113</t>
  </si>
  <si>
    <t>183.93296804359437</t>
  </si>
  <si>
    <t>SKU38</t>
  </si>
  <si>
    <t>52.0759306827078</t>
  </si>
  <si>
    <t>9692.318040218432</t>
  </si>
  <si>
    <t>9.235931437249228</t>
  </si>
  <si>
    <t>5.930693645528318</t>
  </si>
  <si>
    <t>0.6133268991645074</t>
  </si>
  <si>
    <t>339.67286994860615</t>
  </si>
  <si>
    <t>SKU39</t>
  </si>
  <si>
    <t>19.127477265823256</t>
  </si>
  <si>
    <t>1912.4656631007608</t>
  </si>
  <si>
    <t>5.562503778830384</t>
  </si>
  <si>
    <t>9.005807428781642</t>
  </si>
  <si>
    <t>1.451972203996816</t>
  </si>
  <si>
    <t>653.6729945520332</t>
  </si>
  <si>
    <t>SKU40</t>
  </si>
  <si>
    <t>80.54142417094033</t>
  </si>
  <si>
    <t>5724.959350456265</t>
  </si>
  <si>
    <t>7.229595139736474</t>
  </si>
  <si>
    <t>88.17940710421746</t>
  </si>
  <si>
    <t>4.213269430586566</t>
  </si>
  <si>
    <t>529.8087239806919</t>
  </si>
  <si>
    <t>SKU41</t>
  </si>
  <si>
    <t>99.11329161531717</t>
  </si>
  <si>
    <t>5521.2052590109715</t>
  </si>
  <si>
    <t>5.773263743766654</t>
  </si>
  <si>
    <t>95.3320645487725</t>
  </si>
  <si>
    <t>0.04530226239825963</t>
  </si>
  <si>
    <t>275.5243711313098</t>
  </si>
  <si>
    <t>SKU42</t>
  </si>
  <si>
    <t>46.52916761451677</t>
  </si>
  <si>
    <t>1839.609425856764</t>
  </si>
  <si>
    <t>7.526248326851508</t>
  </si>
  <si>
    <t>96.42282063957187</t>
  </si>
  <si>
    <t>4.939255288620948</t>
  </si>
  <si>
    <t>635.6571205019919</t>
  </si>
  <si>
    <t>SKU43</t>
  </si>
  <si>
    <t>11.74327177630924</t>
  </si>
  <si>
    <t>5737.425599119023</t>
  </si>
  <si>
    <t>3.6940212683884543</t>
  </si>
  <si>
    <t>26.27736595733241</t>
  </si>
  <si>
    <t>0.3723047679850977</t>
  </si>
  <si>
    <t>716.0441197593407</t>
  </si>
  <si>
    <t>SKU44</t>
  </si>
  <si>
    <t>51.35579091311039</t>
  </si>
  <si>
    <t>7152.2860494355145</t>
  </si>
  <si>
    <t>7.577449657376693</t>
  </si>
  <si>
    <t>22.554106620887744</t>
  </si>
  <si>
    <t>2.962626320454882</t>
  </si>
  <si>
    <t>610.4532696192277</t>
  </si>
  <si>
    <t>SKU45</t>
  </si>
  <si>
    <t>33.78413803306551</t>
  </si>
  <si>
    <t>5267.956807510521</t>
  </si>
  <si>
    <t>5.21515500871191</t>
  </si>
  <si>
    <t>66.31254443999165</t>
  </si>
  <si>
    <t>3.219604612084106</t>
  </si>
  <si>
    <t>495.30569702847396</t>
  </si>
  <si>
    <t>SKU46</t>
  </si>
  <si>
    <t>27.0822071998889</t>
  </si>
  <si>
    <t>2556.7673606335957</t>
  </si>
  <si>
    <t>4.070955837084083</t>
  </si>
  <si>
    <t>77.32235321105162</t>
  </si>
  <si>
    <t>3.6486105925362033</t>
  </si>
  <si>
    <t>380.4359371119643</t>
  </si>
  <si>
    <t>SKU47</t>
  </si>
  <si>
    <t>95.71213588093609</t>
  </si>
  <si>
    <t>7089.474249934186</t>
  </si>
  <si>
    <t>8.97875075594997</t>
  </si>
  <si>
    <t>19.712992911293647</t>
  </si>
  <si>
    <t>0.38057358671321373</t>
  </si>
  <si>
    <t>581.6023550505868</t>
  </si>
  <si>
    <t>SKU48</t>
  </si>
  <si>
    <t>76.03554442689172</t>
  </si>
  <si>
    <t>7397.07100458718</t>
  </si>
  <si>
    <t>7.0958331565551385</t>
  </si>
  <si>
    <t>23.126363582464776</t>
  </si>
  <si>
    <t>1.6981125407144038</t>
  </si>
  <si>
    <t>768.65191395437</t>
  </si>
  <si>
    <t>SKU49</t>
  </si>
  <si>
    <t>78.89791320564004</t>
  </si>
  <si>
    <t>8001.613206519002</t>
  </si>
  <si>
    <t>2.5056210329009154</t>
  </si>
  <si>
    <t>14.147815443979217</t>
  </si>
  <si>
    <t>2.825813985400132</t>
  </si>
  <si>
    <t>336.8901685199779</t>
  </si>
  <si>
    <t>SKU50</t>
  </si>
  <si>
    <t>14.203484264803022</t>
  </si>
  <si>
    <t>5910.885389668899</t>
  </si>
  <si>
    <t>6.247860914975991</t>
  </si>
  <si>
    <t>45.17875792463452</t>
  </si>
  <si>
    <t>4.754800804671185</t>
  </si>
  <si>
    <t>496.24865029194046</t>
  </si>
  <si>
    <t>SKU51</t>
  </si>
  <si>
    <t>26.70076097246173</t>
  </si>
  <si>
    <t>9866.465457979697</t>
  </si>
  <si>
    <t>4.783000557947665</t>
  </si>
  <si>
    <t>14.19032834456998</t>
  </si>
  <si>
    <t>1.7729511720835571</t>
  </si>
  <si>
    <t>694.9823175794459</t>
  </si>
  <si>
    <t>SKU52</t>
  </si>
  <si>
    <t>98.03182965646508</t>
  </si>
  <si>
    <t>9435.76260891213</t>
  </si>
  <si>
    <t>8.631052179768947</t>
  </si>
  <si>
    <t>9.166849148597151</t>
  </si>
  <si>
    <t>2.1224716191438247</t>
  </si>
  <si>
    <t>602.8984988383834</t>
  </si>
  <si>
    <t>SKU53</t>
  </si>
  <si>
    <t>30.341470711214214</t>
  </si>
  <si>
    <t>8232.334829425821</t>
  </si>
  <si>
    <t>1.0134865660958963</t>
  </si>
  <si>
    <t>83.34405899167797</t>
  </si>
  <si>
    <t>1.4103475760760271</t>
  </si>
  <si>
    <t>750.7378406682709</t>
  </si>
  <si>
    <t>SKU54</t>
  </si>
  <si>
    <t>31.146243160240854</t>
  </si>
  <si>
    <t>6088.021479940859</t>
  </si>
  <si>
    <t>4.3051034712876355</t>
  </si>
  <si>
    <t>30.186023375822508</t>
  </si>
  <si>
    <t>2.4787719755397477</t>
  </si>
  <si>
    <t>814.0699965821875</t>
  </si>
  <si>
    <t>SKU55</t>
  </si>
  <si>
    <t>79.85505834078943</t>
  </si>
  <si>
    <t>2925.6751703038126</t>
  </si>
  <si>
    <t>5.014364955030907</t>
  </si>
  <si>
    <t>30.3235452566165</t>
  </si>
  <si>
    <t>4.548919659396385</t>
  </si>
  <si>
    <t>323.01292795247883</t>
  </si>
  <si>
    <t>SKU56</t>
  </si>
  <si>
    <t>20.986386037043378</t>
  </si>
  <si>
    <t>4767.020484344137</t>
  </si>
  <si>
    <t>1.7744297140717396</t>
  </si>
  <si>
    <t>12.836284572832753</t>
  </si>
  <si>
    <t>1.173755495387454</t>
  </si>
  <si>
    <t>832.2108087060217</t>
  </si>
  <si>
    <t>SKU57</t>
  </si>
  <si>
    <t>49.263205350734154</t>
  </si>
  <si>
    <t>1605.8669003924058</t>
  </si>
  <si>
    <t>9.16055853538187</t>
  </si>
  <si>
    <t>67.77962298707814</t>
  </si>
  <si>
    <t>2.511174830212707</t>
  </si>
  <si>
    <t>482.19123860252813</t>
  </si>
  <si>
    <t>SKU58</t>
  </si>
  <si>
    <t>59.84156137728931</t>
  </si>
  <si>
    <t>2021.1498103371077</t>
  </si>
  <si>
    <t>4.93843856471209</t>
  </si>
  <si>
    <t>65.04741509469146</t>
  </si>
  <si>
    <t>1.7303747198591968</t>
  </si>
  <si>
    <t>110.36433523136472</t>
  </si>
  <si>
    <t>SKU59</t>
  </si>
  <si>
    <t>63.828398347710966</t>
  </si>
  <si>
    <t>1061.618523013288</t>
  </si>
  <si>
    <t>7.293722596867728</t>
  </si>
  <si>
    <t>1.900762243519458</t>
  </si>
  <si>
    <t>0.4471940154638232</t>
  </si>
  <si>
    <t>312.5742736100933</t>
  </si>
  <si>
    <t>SKU60</t>
  </si>
  <si>
    <t>17.028027920188702</t>
  </si>
  <si>
    <t>8864.084349586436</t>
  </si>
  <si>
    <t>4.3813681581023145</t>
  </si>
  <si>
    <t>87.21305781513568</t>
  </si>
  <si>
    <t>2.853090616649054</t>
  </si>
  <si>
    <t>430.16909697513654</t>
  </si>
  <si>
    <t>SKU61</t>
  </si>
  <si>
    <t>52.02874990329492</t>
  </si>
  <si>
    <t>6885.589350896253</t>
  </si>
  <si>
    <t>9.030340422521949</t>
  </si>
  <si>
    <t>78.7023939688789</t>
  </si>
  <si>
    <t>4.367470538205053</t>
  </si>
  <si>
    <t>164.36652824341942</t>
  </si>
  <si>
    <t>SKU62</t>
  </si>
  <si>
    <t>72.79635395558736</t>
  </si>
  <si>
    <t>3899.7468337292244</t>
  </si>
  <si>
    <t>7.291701388776776</t>
  </si>
  <si>
    <t>21.048642725168644</t>
  </si>
  <si>
    <t>1.8740014040443747</t>
  </si>
  <si>
    <t>320.8465157591116</t>
  </si>
  <si>
    <t>SKU63</t>
  </si>
  <si>
    <t>13.017376785287857</t>
  </si>
  <si>
    <t>4256.949140850225</t>
  </si>
  <si>
    <t>2.45793352798733</t>
  </si>
  <si>
    <t>20.075003975630484</t>
  </si>
  <si>
    <t>3.6328432903821337</t>
  </si>
  <si>
    <t>687.2861778664173</t>
  </si>
  <si>
    <t>SKU64</t>
  </si>
  <si>
    <t>89.63409560813533</t>
  </si>
  <si>
    <t>8458.730878367178</t>
  </si>
  <si>
    <t>4.585353468194652</t>
  </si>
  <si>
    <t>8.693042425877287</t>
  </si>
  <si>
    <t>0.15948631471751462</t>
  </si>
  <si>
    <t>771.2250846811575</t>
  </si>
  <si>
    <t>SKU65</t>
  </si>
  <si>
    <t>33.69771720664313</t>
  </si>
  <si>
    <t>8354.579686481995</t>
  </si>
  <si>
    <t>6.580541347884595</t>
  </si>
  <si>
    <t>1.5972227430506774</t>
  </si>
  <si>
    <t>4.911095954842331</t>
  </si>
  <si>
    <t>555.8591036717435</t>
  </si>
  <si>
    <t>SKU66</t>
  </si>
  <si>
    <t>26.034869773962086</t>
  </si>
  <si>
    <t>8367.721618020154</t>
  </si>
  <si>
    <t>2.2161427287713633</t>
  </si>
  <si>
    <t>42.08443673830996</t>
  </si>
  <si>
    <t>3.4480632883402618</t>
  </si>
  <si>
    <t>393.8433485784279</t>
  </si>
  <si>
    <t>SKU67</t>
  </si>
  <si>
    <t>87.75543235400107</t>
  </si>
  <si>
    <t>9473.798032508337</t>
  </si>
  <si>
    <t>9.147811544710633</t>
  </si>
  <si>
    <t>7.057876146978231</t>
  </si>
  <si>
    <t>0.13195544431181483</t>
  </si>
  <si>
    <t>169.2718013847869</t>
  </si>
  <si>
    <t>SKU68</t>
  </si>
  <si>
    <t>37.93181238279032</t>
  </si>
  <si>
    <t>3550.218432780992</t>
  </si>
  <si>
    <t>1.1942518648849991</t>
  </si>
  <si>
    <t>97.1135815634622</t>
  </si>
  <si>
    <t>1.98346787217418</t>
  </si>
  <si>
    <t>299.70630311810316</t>
  </si>
  <si>
    <t>SKU69</t>
  </si>
  <si>
    <t>54.86552851706979</t>
  </si>
  <si>
    <t>1752.3810874841247</t>
  </si>
  <si>
    <t>9.705286790120349</t>
  </si>
  <si>
    <t>77.62776581274817</t>
  </si>
  <si>
    <t>1.3623879886491086</t>
  </si>
  <si>
    <t>207.66320620857562</t>
  </si>
  <si>
    <t>SKU70</t>
  </si>
  <si>
    <t>47.914541824058766</t>
  </si>
  <si>
    <t>7014.887987203389</t>
  </si>
  <si>
    <t>6.315717754600723</t>
  </si>
  <si>
    <t>11.440781823761265</t>
  </si>
  <si>
    <t>1.8305755986122314</t>
  </si>
  <si>
    <t>183.27289874871101</t>
  </si>
  <si>
    <t>SKU71</t>
  </si>
  <si>
    <t>6.381533162747966</t>
  </si>
  <si>
    <t>8180.337085425443</t>
  </si>
  <si>
    <t>9.228190317052517</t>
  </si>
  <si>
    <t>30.661677477859556</t>
  </si>
  <si>
    <t>2.078750607874969</t>
  </si>
  <si>
    <t>405.16706788885585</t>
  </si>
  <si>
    <t>SKU72</t>
  </si>
  <si>
    <t>90.20442752052807</t>
  </si>
  <si>
    <t>2633.1219813122557</t>
  </si>
  <si>
    <t>6.599614159689544</t>
  </si>
  <si>
    <t>55.76049289524421</t>
  </si>
  <si>
    <t>3.213329607438309</t>
  </si>
  <si>
    <t>677.9445698461833</t>
  </si>
  <si>
    <t>SKU73</t>
  </si>
  <si>
    <t>83.8510176813046</t>
  </si>
  <si>
    <t>7910.886916140686</t>
  </si>
  <si>
    <t>1.5129368369160772</t>
  </si>
  <si>
    <t>46.870238797617155</t>
  </si>
  <si>
    <t>4.620546064513706</t>
  </si>
  <si>
    <t>866.4728001296578</t>
  </si>
  <si>
    <t>SKU74</t>
  </si>
  <si>
    <t>3.170011413566155</t>
  </si>
  <si>
    <t>5709.945295969287</t>
  </si>
  <si>
    <t>5.237654650037448</t>
  </si>
  <si>
    <t>80.58085215644782</t>
  </si>
  <si>
    <t>0.3966127241099354</t>
  </si>
  <si>
    <t>341.55265678322337</t>
  </si>
  <si>
    <t>SKU75</t>
  </si>
  <si>
    <t>92.99688423397066</t>
  </si>
  <si>
    <t>1889.073589779335</t>
  </si>
  <si>
    <t>2.473897761045461</t>
  </si>
  <si>
    <t>48.06478264000659</t>
  </si>
  <si>
    <t>2.0300690886687516</t>
  </si>
  <si>
    <t>873.1296480176514</t>
  </si>
  <si>
    <t>SKU76</t>
  </si>
  <si>
    <t>69.10879954743032</t>
  </si>
  <si>
    <t>5328.375984297758</t>
  </si>
  <si>
    <t>7.054538336836926</t>
  </si>
  <si>
    <t>64.32359779560022</t>
  </si>
  <si>
    <t>2.1800374515822165</t>
  </si>
  <si>
    <t>997.4134501331946</t>
  </si>
  <si>
    <t>SKU77</t>
  </si>
  <si>
    <t>57.44974295897148</t>
  </si>
  <si>
    <t>2483.7601775427947</t>
  </si>
  <si>
    <t>6.780946625617895</t>
  </si>
  <si>
    <t>42.95244474899184</t>
  </si>
  <si>
    <t>3.055141818307548</t>
  </si>
  <si>
    <t>852.56809891985</t>
  </si>
  <si>
    <t>SKU78</t>
  </si>
  <si>
    <t>6.306883176111915</t>
  </si>
  <si>
    <t>1292.4584179377562</t>
  </si>
  <si>
    <t>8.46704977086199</t>
  </si>
  <si>
    <t>71.12651472040338</t>
  </si>
  <si>
    <t>4.096881332470452</t>
  </si>
  <si>
    <t>323.59220343132216</t>
  </si>
  <si>
    <t>SKU79</t>
  </si>
  <si>
    <t>57.05703122110322</t>
  </si>
  <si>
    <t>7888.723268427081</t>
  </si>
  <si>
    <t>6.4963253642950445</t>
  </si>
  <si>
    <t>57.87090292403628</t>
  </si>
  <si>
    <t>0.16587162748060824</t>
  </si>
  <si>
    <t>351.50421933503867</t>
  </si>
  <si>
    <t>SKU80</t>
  </si>
  <si>
    <t>91.12831835044433</t>
  </si>
  <si>
    <t>8651.672682982065</t>
  </si>
  <si>
    <t>2.8331846794189746</t>
  </si>
  <si>
    <t>76.96122802382001</t>
  </si>
  <si>
    <t>2.8496621985053308</t>
  </si>
  <si>
    <t>787.7798504943445</t>
  </si>
  <si>
    <t>SKU81</t>
  </si>
  <si>
    <t>72.81920693031822</t>
  </si>
  <si>
    <t>4384.4134000458625</t>
  </si>
  <si>
    <t>4.066277501512044</t>
  </si>
  <si>
    <t>19.789592941903603</t>
  </si>
  <si>
    <t>2.5475471215487118</t>
  </si>
  <si>
    <t>276.77833594679885</t>
  </si>
  <si>
    <t>SKU82</t>
  </si>
  <si>
    <t>17.034930739467917</t>
  </si>
  <si>
    <t>2943.3818676094515</t>
  </si>
  <si>
    <t>4.70818187354193</t>
  </si>
  <si>
    <t>4.46527843494324</t>
  </si>
  <si>
    <t>4.137877048622357</t>
  </si>
  <si>
    <t>589.9785556280407</t>
  </si>
  <si>
    <t>SKU83</t>
  </si>
  <si>
    <t>68.91124621160633</t>
  </si>
  <si>
    <t>2411.754632110491</t>
  </si>
  <si>
    <t>4.949839577996949</t>
  </si>
  <si>
    <t>97.73059380053304</t>
  </si>
  <si>
    <t>0.7730061340672478</t>
  </si>
  <si>
    <t>682.9710182260933</t>
  </si>
  <si>
    <t>SKU84</t>
  </si>
  <si>
    <t>89.10436729210225</t>
  </si>
  <si>
    <t>2048.2900998487103</t>
  </si>
  <si>
    <t>8.381615624922631</t>
  </si>
  <si>
    <t>33.808636513209095</t>
  </si>
  <si>
    <t>4.843456577118041</t>
  </si>
  <si>
    <t>465.45700596368795</t>
  </si>
  <si>
    <t>SKU85</t>
  </si>
  <si>
    <t>76.96299441519388</t>
  </si>
  <si>
    <t>8684.613059253858</t>
  </si>
  <si>
    <t>8.249168704871728</t>
  </si>
  <si>
    <t>69.9293455186723</t>
  </si>
  <si>
    <t>1.3744289997457582</t>
  </si>
  <si>
    <t>842.6868300046415</t>
  </si>
  <si>
    <t>SKU86</t>
  </si>
  <si>
    <t>19.99817694040422</t>
  </si>
  <si>
    <t>1229.5910285649834</t>
  </si>
  <si>
    <t>1.4543053101535515</t>
  </si>
  <si>
    <t>74.60896999519468</t>
  </si>
  <si>
    <t>2.0515129307662465</t>
  </si>
  <si>
    <t>264.2548898358665</t>
  </si>
  <si>
    <t>SKU87</t>
  </si>
  <si>
    <t>80.41403665035574</t>
  </si>
  <si>
    <t>5133.846701086692</t>
  </si>
  <si>
    <t>6.575803797548535</t>
  </si>
  <si>
    <t>28.69699682414317</t>
  </si>
  <si>
    <t>3.6937377878392756</t>
  </si>
  <si>
    <t>879.3592177349243</t>
  </si>
  <si>
    <t>SKU88</t>
  </si>
  <si>
    <t>75.27040697572501</t>
  </si>
  <si>
    <t>9444.74203306298</t>
  </si>
  <si>
    <t>3.8012531329310777</t>
  </si>
  <si>
    <t>68.18491905704117</t>
  </si>
  <si>
    <t>0.722204401882931</t>
  </si>
  <si>
    <t>103.91624796070495</t>
  </si>
  <si>
    <t>SKU89</t>
  </si>
  <si>
    <t>97.76008558193867</t>
  </si>
  <si>
    <t>5924.682566853231</t>
  </si>
  <si>
    <t>9.929816245277259</t>
  </si>
  <si>
    <t>46.60387338164447</t>
  </si>
  <si>
    <t>1.9076657339590746</t>
  </si>
  <si>
    <t>517.4999739290605</t>
  </si>
  <si>
    <t>SKU90</t>
  </si>
  <si>
    <t>13.881913501359142</t>
  </si>
  <si>
    <t>9592.633570280312</t>
  </si>
  <si>
    <t>7.674430708112694</t>
  </si>
  <si>
    <t>85.67596333579797</t>
  </si>
  <si>
    <t>1.2193822244013885</t>
  </si>
  <si>
    <t>990.0784725058112</t>
  </si>
  <si>
    <t>SKU91</t>
  </si>
  <si>
    <t>62.11196546396179</t>
  </si>
  <si>
    <t>1935.206793507599</t>
  </si>
  <si>
    <t>7.471514084401146</t>
  </si>
  <si>
    <t>39.772882502339975</t>
  </si>
  <si>
    <t>0.6260018582093946</t>
  </si>
  <si>
    <t>996.7783149506238</t>
  </si>
  <si>
    <t>SKU92</t>
  </si>
  <si>
    <t>47.71423307582023</t>
  </si>
  <si>
    <t>2100.1297546259366</t>
  </si>
  <si>
    <t>4.469500026123601</t>
  </si>
  <si>
    <t>62.612690395614344</t>
  </si>
  <si>
    <t>0.33343182522473924</t>
  </si>
  <si>
    <t>230.09278253676294</t>
  </si>
  <si>
    <t>SKU93</t>
  </si>
  <si>
    <t>69.29083100290549</t>
  </si>
  <si>
    <t>4531.4021336919095</t>
  </si>
  <si>
    <t>7.0064320590043945</t>
  </si>
  <si>
    <t>35.633652343343876</t>
  </si>
  <si>
    <t>4.165781795424145</t>
  </si>
  <si>
    <t>823.5238458881558</t>
  </si>
  <si>
    <t>SKU94</t>
  </si>
  <si>
    <t>3.037688724631414</t>
  </si>
  <si>
    <t>7888.356546661873</t>
  </si>
  <si>
    <t>6.942945942032581</t>
  </si>
  <si>
    <t>60.38737861486212</t>
  </si>
  <si>
    <t>1.4636074984727798</t>
  </si>
  <si>
    <t>846.6652569866948</t>
  </si>
  <si>
    <t>SKU95</t>
  </si>
  <si>
    <t>77.90392721944775</t>
  </si>
  <si>
    <t>7386.363944048664</t>
  </si>
  <si>
    <t>8.630338869602754</t>
  </si>
  <si>
    <t>58.89068576858998</t>
  </si>
  <si>
    <t>1.2108821295850665</t>
  </si>
  <si>
    <t>778.8642413766479</t>
  </si>
  <si>
    <t>SKU96</t>
  </si>
  <si>
    <t>24.42313142037338</t>
  </si>
  <si>
    <t>7698.424765632117</t>
  </si>
  <si>
    <t>5.352878043996809</t>
  </si>
  <si>
    <t>17.80375633139127</t>
  </si>
  <si>
    <t>3.872047681482133</t>
  </si>
  <si>
    <t>188.74214114905698</t>
  </si>
  <si>
    <t>SKU97</t>
  </si>
  <si>
    <t>3.526111259143416</t>
  </si>
  <si>
    <t>4370.916579984536</t>
  </si>
  <si>
    <t>7.904845611209675</t>
  </si>
  <si>
    <t>65.76515592636746</t>
  </si>
  <si>
    <t>3.376237834717981</t>
  </si>
  <si>
    <t>540.1324228679678</t>
  </si>
  <si>
    <t>SKU98</t>
  </si>
  <si>
    <t>19.7546048668786</t>
  </si>
  <si>
    <t>8525.952559683526</t>
  </si>
  <si>
    <t>1.409801095138073</t>
  </si>
  <si>
    <t>5.604690864371781</t>
  </si>
  <si>
    <t>2.908122169351261</t>
  </si>
  <si>
    <t>882.1988635470415</t>
  </si>
  <si>
    <t>SKU99</t>
  </si>
  <si>
    <t>68.51783269927664</t>
  </si>
  <si>
    <t>9185.185829181704</t>
  </si>
  <si>
    <t>1.3110237561206226</t>
  </si>
  <si>
    <t>38.07289852062604</t>
  </si>
  <si>
    <t>0.3460272907055034</t>
  </si>
  <si>
    <t>210.74300896424614</t>
  </si>
  <si>
    <t>Row Labels</t>
  </si>
  <si>
    <t>Grand Total</t>
  </si>
  <si>
    <t>Sum of Order quantities</t>
  </si>
  <si>
    <t>Sum of Stock levels</t>
  </si>
  <si>
    <t>Sum of Lead times</t>
  </si>
  <si>
    <t>Sum of Production volumes</t>
  </si>
  <si>
    <t>Sum of Availability</t>
  </si>
  <si>
    <t>Sum of Number of products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</si>
</sst>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_-* #,##0_-;\-* #,##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21"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4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Total Products Sold By Type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dLbl>
          <c:idx val="0"/>
          <c:layout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delete val="1"/>
          </c:dLbls>
          <c:cat>
            <c:strRef>
              <c:f>Pivot!$A$4:$A$7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Pivot!$B$4:$B$7</c:f>
              <c:numCache>
                <c:formatCode>_-* #\ ##0_-;\-* #\ ##0_-;_-* "-"??_-;_-@_-</c:formatCode>
                <c:ptCount val="3"/>
                <c:pt idx="0">
                  <c:v>11757</c:v>
                </c:pt>
                <c:pt idx="1">
                  <c:v>13611</c:v>
                </c:pt>
                <c:pt idx="2">
                  <c:v>20731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1-4BAC-AECB-26622B3E19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Order Quantities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layout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2"/>
            </a:solidFill>
          </a:ln>
          <a:effectLst/>
        </c:spPr>
        <c:marker>
          <c:symbol val="circle"/>
          <c:size val="5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rgbClr val="ED7D31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Pivot!$B$10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2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2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rgbClr val="ED7D31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2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Pivot!$A$11:$A$15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  <c:pt idx="3">
                  <c:v>Unknown</c:v>
                </c:pt>
              </c:strCache>
            </c:strRef>
          </c:cat>
          <c:val>
            <c:numRef>
              <c:f>Pivot!$B$11:$B$15</c:f>
              <c:numCache>
                <c:formatCode>_-* #\ ##0_-;\-* #\ ##0_-;_-* "-"??_-;_-@_-</c:formatCode>
                <c:ptCount val="4"/>
                <c:pt idx="0">
                  <c:v>1141</c:v>
                </c:pt>
                <c:pt idx="1">
                  <c:v>899</c:v>
                </c:pt>
                <c:pt idx="2">
                  <c:v>1292</c:v>
                </c:pt>
                <c:pt idx="3">
                  <c:v>1590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6-4707-B015-2E2DD4B3B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 Times By SKU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Pivot!$A$45:$A$59</c:f>
              <c:strCache>
                <c:ptCount val="14"/>
                <c:pt idx="0">
                  <c:v>SKU1</c:v>
                </c:pt>
                <c:pt idx="1">
                  <c:v>SKU12</c:v>
                </c:pt>
                <c:pt idx="2">
                  <c:v>SKU14</c:v>
                </c:pt>
                <c:pt idx="3">
                  <c:v>SKU35</c:v>
                </c:pt>
                <c:pt idx="4">
                  <c:v>SKU39</c:v>
                </c:pt>
                <c:pt idx="5">
                  <c:v>SKU42</c:v>
                </c:pt>
                <c:pt idx="6">
                  <c:v>SKU43</c:v>
                </c:pt>
                <c:pt idx="7">
                  <c:v>SKU46</c:v>
                </c:pt>
                <c:pt idx="8">
                  <c:v>SKU5</c:v>
                </c:pt>
                <c:pt idx="9">
                  <c:v>SKU60</c:v>
                </c:pt>
                <c:pt idx="10">
                  <c:v>SKU64</c:v>
                </c:pt>
                <c:pt idx="11">
                  <c:v>SKU72</c:v>
                </c:pt>
                <c:pt idx="12">
                  <c:v>SKU77</c:v>
                </c:pt>
                <c:pt idx="13">
                  <c:v>SKU9</c:v>
                </c:pt>
              </c:strCache>
            </c:strRef>
          </c:cat>
          <c:val>
            <c:numRef>
              <c:f>Pivot!$B$45:$B$59</c:f>
              <c:numCache>
                <c:formatCode>_-* #\ ##0_-;\-* #\ ##0_-;_-* "-"??_-;_-@_-</c:formatCode>
                <c:ptCount val="14"/>
                <c:pt idx="0">
                  <c:v>30</c:v>
                </c:pt>
                <c:pt idx="1">
                  <c:v>30</c:v>
                </c:pt>
                <c:pt idx="2">
                  <c:v>29</c:v>
                </c:pt>
                <c:pt idx="3">
                  <c:v>27</c:v>
                </c:pt>
                <c:pt idx="4">
                  <c:v>29</c:v>
                </c:pt>
                <c:pt idx="5">
                  <c:v>27</c:v>
                </c:pt>
                <c:pt idx="6">
                  <c:v>29</c:v>
                </c:pt>
                <c:pt idx="7">
                  <c:v>29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29</c:v>
                </c:pt>
                <c:pt idx="12">
                  <c:v>28</c:v>
                </c:pt>
                <c:pt idx="1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4-4602-8165-FABDC1E5CA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6774415"/>
        <c:axId val="1746775247"/>
      </c:barChart>
      <c:catAx>
        <c:axId val="17467744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6775247"/>
        <c:crosses val="autoZero"/>
        <c:auto val="1"/>
        <c:lblAlgn val="ctr"/>
        <c:lblOffset val="100"/>
        <c:noMultiLvlLbl val="0"/>
      </c:catAx>
      <c:valAx>
        <c:axId val="1746775247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crossAx val="17467744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Production Volume By Location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Pivot!$A$19:$A$24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Pivot!$B$19:$B$24</c:f>
              <c:numCache>
                <c:formatCode>_-* #\ ##0_-;\-* #\ ##0_-;_-* "-"??_-;_-@_-</c:formatCode>
                <c:ptCount val="5"/>
                <c:pt idx="0">
                  <c:v>7827</c:v>
                </c:pt>
                <c:pt idx="1">
                  <c:v>11984</c:v>
                </c:pt>
                <c:pt idx="2">
                  <c:v>8362</c:v>
                </c:pt>
                <c:pt idx="3">
                  <c:v>15451</c:v>
                </c:pt>
                <c:pt idx="4">
                  <c:v>13160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4-4473-B4FC-12DA21350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7415935"/>
        <c:axId val="1877415519"/>
      </c:barChart>
      <c:catAx>
        <c:axId val="187741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15519"/>
        <c:crosses val="autoZero"/>
        <c:auto val="1"/>
        <c:lblAlgn val="ctr"/>
        <c:lblOffset val="100"/>
        <c:noMultiLvlLbl val="0"/>
      </c:catAx>
      <c:valAx>
        <c:axId val="187741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1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Availability By Transportation Mode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pPr>
            <a:solidFill>
              <a:schemeClr val="accent2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2"/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Pivot!$B$27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2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Pivot!$A$28:$A$32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Pivot!$B$28:$B$32</c:f>
              <c:numCache>
                <c:formatCode>_-* #\ ##0_-;\-* #\ ##0_-;_-* "-"??_-;_-@_-</c:formatCode>
                <c:ptCount val="4"/>
                <c:pt idx="0">
                  <c:v>1251</c:v>
                </c:pt>
                <c:pt idx="1">
                  <c:v>1232</c:v>
                </c:pt>
                <c:pt idx="2">
                  <c:v>1575</c:v>
                </c:pt>
                <c:pt idx="3">
                  <c:v>782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A0-40EE-B7CC-CB5A1D74C0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876772031"/>
        <c:axId val="1876769119"/>
      </c:lineChart>
      <c:catAx>
        <c:axId val="18767720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6769119"/>
        <c:crosses val="autoZero"/>
        <c:auto val="1"/>
        <c:lblAlgn val="ctr"/>
        <c:lblOffset val="100"/>
        <c:noMultiLvlLbl val="0"/>
      </c:catAx>
      <c:valAx>
        <c:axId val="1876769119"/>
        <c:scaling>
          <c:orientation val="minMax"/>
        </c:scaling>
        <c:delete val="1"/>
        <c:axPos val="l"/>
        <c:numFmt formatCode="_-* #\ ##0_-;\-* #\ ##0_-;_-* &quot;-&quot;??_-;_-@_-" sourceLinked="1"/>
        <c:majorTickMark val="none"/>
        <c:minorTickMark val="none"/>
        <c:tickLblPos val="nextTo"/>
        <c:crossAx val="1876772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/>
    </a:solidFill>
    <a:ln w="9525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[supply_chain_data_pivot_charts.xlsx]Pivot!PivotTable5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Stock Levels By Supplier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2"/>
            </a:solidFill>
            <a:miter lim="800000"/>
          </a:ln>
          <a:effectLst>
            <a:glow rad="63500">
              <a:schemeClr val="accent2">
                <a:satMod val="175000"/>
                <a:alpha val="25000"/>
              </a:schemeClr>
            </a:glo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Pivot!$B$35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Pivot!$A$36:$A$41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Pivot!$B$36:$B$41</c:f>
              <c:numCache>
                <c:formatCode>_-* #\ ##0_-;\-* #\ ##0_-;_-* "-"??_-;_-@_-</c:formatCode>
                <c:ptCount val="5"/>
                <c:pt idx="0">
                  <c:v>1142</c:v>
                </c:pt>
                <c:pt idx="1">
                  <c:v>1022</c:v>
                </c:pt>
                <c:pt idx="2">
                  <c:v>654</c:v>
                </c:pt>
                <c:pt idx="3">
                  <c:v>1061</c:v>
                </c:pt>
                <c:pt idx="4">
                  <c:v>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8-4BD5-9417-E813DC2D1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1877420095"/>
        <c:axId val="1877413439"/>
      </c:barChart>
      <c:catAx>
        <c:axId val="18774200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13439"/>
        <c:crosses val="autoZero"/>
        <c:auto val="1"/>
        <c:lblAlgn val="ctr"/>
        <c:lblOffset val="100"/>
        <c:noMultiLvlLbl val="0"/>
      </c:catAx>
      <c:valAx>
        <c:axId val="18774134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42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147637</xdr:colOff>
      <xdr:row>1</xdr:row>
      <xdr:rowOff>104775</xdr:rowOff>
    </xdr:from>
    <xdr:to>
      <xdr:col>10</xdr:col>
      <xdr:colOff>452437</xdr:colOff>
      <xdr:row>15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252412</xdr:colOff>
      <xdr:row>1</xdr:row>
      <xdr:rowOff>38100</xdr:rowOff>
    </xdr:from>
    <xdr:to>
      <xdr:col>18</xdr:col>
      <xdr:colOff>557212</xdr:colOff>
      <xdr:row>15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100012</xdr:colOff>
      <xdr:row>16</xdr:row>
      <xdr:rowOff>85723</xdr:rowOff>
    </xdr:from>
    <xdr:to>
      <xdr:col>10</xdr:col>
      <xdr:colOff>404812</xdr:colOff>
      <xdr:row>41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90487</xdr:colOff>
      <xdr:row>16</xdr:row>
      <xdr:rowOff>95249</xdr:rowOff>
    </xdr:from>
    <xdr:to>
      <xdr:col>19</xdr:col>
      <xdr:colOff>523875</xdr:colOff>
      <xdr:row>32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80962</xdr:colOff>
      <xdr:row>33</xdr:row>
      <xdr:rowOff>114300</xdr:rowOff>
    </xdr:from>
    <xdr:to>
      <xdr:col>20</xdr:col>
      <xdr:colOff>76200</xdr:colOff>
      <xdr:row>48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471486</xdr:colOff>
      <xdr:row>42</xdr:row>
      <xdr:rowOff>133350</xdr:rowOff>
    </xdr:from>
    <xdr:to>
      <xdr:col>10</xdr:col>
      <xdr:colOff>514349</xdr:colOff>
      <xdr:row>59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ndile" refreshedDate="46124.52430474537" createdVersion="6" refreshedVersion="6" minRefreshableVersion="3" recordCount="100">
  <cacheSource type="worksheet">
    <worksheetSource ref="A1:X101" sheet="Master"/>
  </cacheSource>
  <cacheFields count="24">
    <cacheField name="Product type" numFmtId="0">
      <sharedItems count="3">
        <s v="haircare"/>
        <s v="skincare"/>
        <s v="cosmetics"/>
      </sharedItems>
    </cacheField>
    <cacheField name="SKU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ice" numFmtId="0">
      <sharedItems/>
    </cacheField>
    <cacheField name="Availability" numFmtId="0">
      <sharedItems containsSemiMixedTypes="0" containsString="0" containsNumber="1" containsInteger="1" minValue="1" maxValue="100"/>
    </cacheField>
    <cacheField name="Number of products sold" numFmtId="0">
      <sharedItems containsSemiMixedTypes="0" containsString="0" containsNumber="1" containsInteger="1" minValue="8" maxValue="996"/>
    </cacheField>
    <cacheField name="Revenue generated" numFmtId="0">
      <sharedItems/>
    </cacheField>
    <cacheField name="Customer demographics" numFmtId="0">
      <sharedItems count="4">
        <s v="Non-binary"/>
        <s v="Female"/>
        <s v="Unknown"/>
        <s v="Male"/>
      </sharedItems>
    </cacheField>
    <cacheField name="Stock levels" numFmtId="0">
      <sharedItems containsSemiMixedTypes="0" containsString="0" containsNumber="1" containsInteger="1" minValue="0" maxValue="100"/>
    </cacheField>
    <cacheField name="Lead times" numFmtId="0">
      <sharedItems containsSemiMixedTypes="0" containsString="0" containsNumber="1" containsInteger="1" minValue="1" maxValue="30"/>
    </cacheField>
    <cacheField name="Order quantities" numFmtId="0">
      <sharedItems containsSemiMixedTypes="0" containsString="0" containsNumber="1" containsInteger="1" minValue="1" maxValue="96"/>
    </cacheField>
    <cacheField name="Shipping times" numFmtId="0">
      <sharedItems containsSemiMixedTypes="0" containsString="0" containsNumber="1" containsInteger="1" minValue="1" maxValue="10"/>
    </cacheField>
    <cacheField name="Shipping carriers" numFmtId="0">
      <sharedItems/>
    </cacheField>
    <cacheField name="Shipping costs" numFmtId="0">
      <sharedItems/>
    </cacheField>
    <cacheField name="Supplier name" numFmtId="0">
      <sharedItems count="5">
        <s v="Supplier 3"/>
        <s v="Supplier 1"/>
        <s v="Supplier 5"/>
        <s v="Supplier 4"/>
        <s v="Supplier 2"/>
      </sharedItems>
    </cacheField>
    <cacheField name="Location" numFmtId="0">
      <sharedItems count="5">
        <s v="Mumbai"/>
        <s v="Kolkata"/>
        <s v="Delhi"/>
        <s v="Bangalore"/>
        <s v="Chennai"/>
      </sharedItems>
    </cacheField>
    <cacheField name="Lead time" numFmtId="0">
      <sharedItems containsSemiMixedTypes="0" containsString="0" containsNumber="1" containsInteger="1" minValue="1" maxValue="30"/>
    </cacheField>
    <cacheField name="Production volumes" numFmtId="0">
      <sharedItems containsSemiMixedTypes="0" containsString="0" containsNumber="1" containsInteger="1" minValue="104" maxValue="985"/>
    </cacheField>
    <cacheField name="Manufacturing lead time" numFmtId="0">
      <sharedItems containsSemiMixedTypes="0" containsString="0" containsNumber="1" containsInteger="1" minValue="1" maxValue="30"/>
    </cacheField>
    <cacheField name="Manufacturing costs" numFmtId="0">
      <sharedItems/>
    </cacheField>
    <cacheField name="Inspection results" numFmtId="0">
      <sharedItems/>
    </cacheField>
    <cacheField name="Defect rates" numFmtId="0">
      <sharedItems/>
    </cacheField>
    <cacheField name="Transportation modes" numFmtId="0">
      <sharedItems count="4">
        <s v="Road"/>
        <s v="Air"/>
        <s v="Rail"/>
        <s v="Sea"/>
      </sharedItems>
    </cacheField>
    <cacheField name="Routes" numFmtId="0">
      <sharedItems/>
    </cacheField>
    <cacheField name="Cos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s v="69.80800554211577"/>
    <n v="55"/>
    <n v="802"/>
    <s v="8661.996792392383"/>
    <x v="0"/>
    <n v="58"/>
    <n v="7"/>
    <n v="96"/>
    <n v="4"/>
    <s v="Carrier B"/>
    <s v="2.956572139430807"/>
    <x v="0"/>
    <x v="0"/>
    <n v="29"/>
    <n v="215"/>
    <n v="29"/>
    <s v="46.27987924050832"/>
    <s v="Pending"/>
    <s v="0.22641036084992516"/>
    <x v="0"/>
    <s v="Route B"/>
    <s v="187.75207545920392"/>
  </r>
  <r>
    <x v="1"/>
    <x v="1"/>
    <s v="14.843523275084339"/>
    <n v="95"/>
    <n v="736"/>
    <s v="7460.900065445849"/>
    <x v="1"/>
    <n v="53"/>
    <n v="30"/>
    <n v="37"/>
    <n v="2"/>
    <s v="Carrier A"/>
    <s v="9.71657477143131"/>
    <x v="0"/>
    <x v="0"/>
    <n v="23"/>
    <n v="517"/>
    <n v="30"/>
    <s v="33.61676895373"/>
    <s v="Pending"/>
    <s v="4.854068026388706"/>
    <x v="0"/>
    <s v="Route B"/>
    <s v="503.0655791496692"/>
  </r>
  <r>
    <x v="0"/>
    <x v="2"/>
    <s v="11.319683293090566"/>
    <n v="34"/>
    <n v="8"/>
    <s v="9577.74962586873"/>
    <x v="2"/>
    <n v="1"/>
    <n v="10"/>
    <n v="88"/>
    <n v="2"/>
    <s v="Carrier B"/>
    <s v="8.054479261732155"/>
    <x v="1"/>
    <x v="0"/>
    <n v="12"/>
    <n v="971"/>
    <n v="27"/>
    <s v="30.688019348284204"/>
    <s v="Pending"/>
    <s v="4.580592619199229"/>
    <x v="1"/>
    <s v="Route C"/>
    <s v="141.92028177151906"/>
  </r>
  <r>
    <x v="1"/>
    <x v="3"/>
    <s v="61.163343016437736"/>
    <n v="68"/>
    <n v="83"/>
    <s v="7766.836425685233"/>
    <x v="0"/>
    <n v="23"/>
    <n v="13"/>
    <n v="59"/>
    <n v="6"/>
    <s v="Carrier C"/>
    <s v="1.7295685635434288"/>
    <x v="2"/>
    <x v="1"/>
    <n v="24"/>
    <n v="937"/>
    <n v="18"/>
    <s v="35.62474139712503"/>
    <s v="Fail"/>
    <s v="4.74664862064775"/>
    <x v="2"/>
    <s v="Route A"/>
    <s v="254.77615921928663"/>
  </r>
  <r>
    <x v="1"/>
    <x v="4"/>
    <s v="4.805496036345893"/>
    <n v="26"/>
    <n v="871"/>
    <s v="2686.505151567447"/>
    <x v="0"/>
    <n v="5"/>
    <n v="3"/>
    <n v="56"/>
    <n v="8"/>
    <s v="Carrier A"/>
    <s v="3.8905479158706715"/>
    <x v="1"/>
    <x v="2"/>
    <n v="5"/>
    <n v="414"/>
    <n v="3"/>
    <s v="92.06516059871285"/>
    <s v="Fail"/>
    <s v="3.145579522833002"/>
    <x v="1"/>
    <s v="Route A"/>
    <s v="923.4406317119222"/>
  </r>
  <r>
    <x v="0"/>
    <x v="5"/>
    <s v="1.6999760138659377"/>
    <n v="87"/>
    <n v="147"/>
    <s v="2828.348745975759"/>
    <x v="0"/>
    <n v="90"/>
    <n v="27"/>
    <n v="66"/>
    <n v="3"/>
    <s v="Carrier B"/>
    <s v="4.444098864382293"/>
    <x v="3"/>
    <x v="3"/>
    <n v="10"/>
    <n v="104"/>
    <n v="17"/>
    <s v="56.7664755574318"/>
    <s v="Fail"/>
    <s v="2.7791935115711617"/>
    <x v="0"/>
    <s v="Route A"/>
    <s v="235.4612367355375"/>
  </r>
  <r>
    <x v="1"/>
    <x v="6"/>
    <s v="4.078332863107945"/>
    <n v="48"/>
    <n v="65"/>
    <s v="7823.476559531737"/>
    <x v="3"/>
    <n v="11"/>
    <n v="15"/>
    <n v="58"/>
    <n v="8"/>
    <s v="Carrier C"/>
    <s v="3.8807633029520034"/>
    <x v="0"/>
    <x v="1"/>
    <n v="14"/>
    <n v="314"/>
    <n v="24"/>
    <s v="1.0850685695870688"/>
    <s v="Pending"/>
    <s v="1.0009106193041357"/>
    <x v="3"/>
    <s v="Route A"/>
    <s v="134.36909686103172"/>
  </r>
  <r>
    <x v="2"/>
    <x v="7"/>
    <s v="42.95838438246007"/>
    <n v="59"/>
    <n v="426"/>
    <s v="8496.103813089838"/>
    <x v="1"/>
    <n v="93"/>
    <n v="17"/>
    <n v="11"/>
    <n v="1"/>
    <s v="Carrier B"/>
    <s v="2.3483387844177805"/>
    <x v="3"/>
    <x v="3"/>
    <n v="22"/>
    <n v="564"/>
    <n v="1"/>
    <s v="99.46610860359912"/>
    <s v="Fail"/>
    <s v="0.3981771868506506"/>
    <x v="0"/>
    <s v="Route C"/>
    <s v="802.0563118175586"/>
  </r>
  <r>
    <x v="2"/>
    <x v="8"/>
    <s v="68.71759674852733"/>
    <n v="78"/>
    <n v="150"/>
    <s v="7517.363210631127"/>
    <x v="1"/>
    <n v="5"/>
    <n v="10"/>
    <n v="15"/>
    <n v="7"/>
    <s v="Carrier C"/>
    <s v="3.4047338570830266"/>
    <x v="3"/>
    <x v="0"/>
    <n v="13"/>
    <n v="769"/>
    <n v="8"/>
    <s v="11.423027139565695"/>
    <s v="Pending"/>
    <s v="2.7098626911099615"/>
    <x v="3"/>
    <s v="Route B"/>
    <s v="505.55713422546415"/>
  </r>
  <r>
    <x v="1"/>
    <x v="9"/>
    <s v="64.01573294127854"/>
    <n v="35"/>
    <n v="980"/>
    <s v="4971.145987585558"/>
    <x v="2"/>
    <n v="14"/>
    <n v="27"/>
    <n v="83"/>
    <n v="1"/>
    <s v="Carrier A"/>
    <s v="7.166645291048216"/>
    <x v="4"/>
    <x v="4"/>
    <n v="29"/>
    <n v="963"/>
    <n v="23"/>
    <s v="47.95760163495158"/>
    <s v="Pending"/>
    <s v="3.844614478767585"/>
    <x v="2"/>
    <s v="Route B"/>
    <s v="995.9294614986417"/>
  </r>
  <r>
    <x v="1"/>
    <x v="10"/>
    <s v="15.707795681912138"/>
    <n v="11"/>
    <n v="996"/>
    <s v="2330.965802091949"/>
    <x v="0"/>
    <n v="51"/>
    <n v="13"/>
    <n v="80"/>
    <n v="2"/>
    <s v="Carrier C"/>
    <s v="8.673211211278613"/>
    <x v="2"/>
    <x v="1"/>
    <n v="18"/>
    <n v="830"/>
    <n v="5"/>
    <s v="96.52735278531091"/>
    <s v="Pass"/>
    <s v="1.7273139283559424"/>
    <x v="0"/>
    <s v="Route B"/>
    <s v="806.103177702923"/>
  </r>
  <r>
    <x v="1"/>
    <x v="11"/>
    <s v="90.63545998228867"/>
    <n v="95"/>
    <n v="960"/>
    <s v="6099.944115581452"/>
    <x v="1"/>
    <n v="46"/>
    <n v="23"/>
    <n v="60"/>
    <n v="1"/>
    <s v="Carrier A"/>
    <s v="4.523943124316663"/>
    <x v="4"/>
    <x v="1"/>
    <n v="28"/>
    <n v="362"/>
    <n v="11"/>
    <s v="27.592363086663696"/>
    <s v="Pending"/>
    <s v="0.02116982137299439"/>
    <x v="1"/>
    <s v="Route A"/>
    <s v="126.72303340940725"/>
  </r>
  <r>
    <x v="0"/>
    <x v="12"/>
    <s v="71.21338907536008"/>
    <n v="41"/>
    <n v="336"/>
    <s v="2873.7414460214413"/>
    <x v="2"/>
    <n v="100"/>
    <n v="30"/>
    <n v="85"/>
    <n v="4"/>
    <s v="Carrier A"/>
    <s v="1.325274010184522"/>
    <x v="3"/>
    <x v="1"/>
    <n v="3"/>
    <n v="563"/>
    <n v="3"/>
    <s v="32.32128621342403"/>
    <s v="Fail"/>
    <s v="2.1612537475559117"/>
    <x v="0"/>
    <s v="Route B"/>
    <s v="402.9687890737706"/>
  </r>
  <r>
    <x v="1"/>
    <x v="13"/>
    <s v="16.160393317379977"/>
    <n v="5"/>
    <n v="249"/>
    <s v="4052.7384162378667"/>
    <x v="3"/>
    <n v="80"/>
    <n v="8"/>
    <n v="48"/>
    <n v="9"/>
    <s v="Carrier A"/>
    <s v="9.537283061108338"/>
    <x v="2"/>
    <x v="3"/>
    <n v="23"/>
    <n v="173"/>
    <n v="10"/>
    <s v="97.82905011017327"/>
    <s v="Pending"/>
    <s v="1.6310742300715386"/>
    <x v="0"/>
    <s v="Route B"/>
    <s v="547.2410051609685"/>
  </r>
  <r>
    <x v="1"/>
    <x v="14"/>
    <s v="99.17132863862419"/>
    <n v="26"/>
    <n v="562"/>
    <s v="8653.570926469802"/>
    <x v="0"/>
    <n v="54"/>
    <n v="29"/>
    <n v="78"/>
    <n v="5"/>
    <s v="Carrier B"/>
    <s v="2.0397701894493316"/>
    <x v="1"/>
    <x v="1"/>
    <n v="25"/>
    <n v="558"/>
    <n v="14"/>
    <s v="5.791436629862989"/>
    <s v="Pending"/>
    <s v="0.10068285156509371"/>
    <x v="1"/>
    <s v="Route B"/>
    <s v="929.2352899608896"/>
  </r>
  <r>
    <x v="1"/>
    <x v="15"/>
    <s v="36.98924492862691"/>
    <n v="94"/>
    <n v="469"/>
    <s v="5442.086785397673"/>
    <x v="0"/>
    <n v="9"/>
    <n v="8"/>
    <n v="69"/>
    <n v="7"/>
    <s v="Carrier B"/>
    <s v="2.4220397232752044"/>
    <x v="1"/>
    <x v="3"/>
    <n v="14"/>
    <n v="580"/>
    <n v="7"/>
    <s v="97.12128175147431"/>
    <s v="Pass"/>
    <s v="2.264405761198549"/>
    <x v="3"/>
    <s v="Route B"/>
    <s v="127.86180000162541"/>
  </r>
  <r>
    <x v="1"/>
    <x v="16"/>
    <s v="7.547172109791272"/>
    <n v="74"/>
    <n v="280"/>
    <s v="6453.797968176285"/>
    <x v="1"/>
    <n v="2"/>
    <n v="5"/>
    <n v="78"/>
    <n v="1"/>
    <s v="Carrier B"/>
    <s v="4.191324585705502"/>
    <x v="1"/>
    <x v="3"/>
    <n v="3"/>
    <n v="399"/>
    <n v="21"/>
    <s v="77.10634249785001"/>
    <s v="Pass"/>
    <s v="1.012563089258049"/>
    <x v="1"/>
    <s v="Route A"/>
    <s v="865.5257797712403"/>
  </r>
  <r>
    <x v="2"/>
    <x v="17"/>
    <s v="81.46253436923702"/>
    <n v="82"/>
    <n v="126"/>
    <s v="2629.396434845262"/>
    <x v="1"/>
    <n v="45"/>
    <n v="17"/>
    <n v="85"/>
    <n v="9"/>
    <s v="Carrier C"/>
    <s v="3.585418958232342"/>
    <x v="1"/>
    <x v="4"/>
    <n v="7"/>
    <n v="453"/>
    <n v="16"/>
    <s v="47.679680368355335"/>
    <s v="Fail"/>
    <s v="0.10202075491817619"/>
    <x v="1"/>
    <s v="Route C"/>
    <s v="670.9343907924103"/>
  </r>
  <r>
    <x v="0"/>
    <x v="18"/>
    <s v="36.443627770460935"/>
    <n v="23"/>
    <n v="620"/>
    <s v="9364.673505076173"/>
    <x v="2"/>
    <n v="10"/>
    <n v="10"/>
    <n v="46"/>
    <n v="8"/>
    <s v="Carrier C"/>
    <s v="4.339224714110709"/>
    <x v="4"/>
    <x v="1"/>
    <n v="18"/>
    <n v="374"/>
    <n v="17"/>
    <s v="27.10798085484392"/>
    <s v="Pending"/>
    <s v="2.2319391107292637"/>
    <x v="3"/>
    <s v="Route A"/>
    <s v="593.4802587206518"/>
  </r>
  <r>
    <x v="1"/>
    <x v="19"/>
    <s v="51.12387008796474"/>
    <n v="100"/>
    <n v="187"/>
    <s v="2553.495584991215"/>
    <x v="2"/>
    <n v="48"/>
    <n v="11"/>
    <n v="94"/>
    <n v="3"/>
    <s v="Carrier A"/>
    <s v="4.742635882841877"/>
    <x v="3"/>
    <x v="4"/>
    <n v="20"/>
    <n v="694"/>
    <n v="16"/>
    <s v="82.37332058799021"/>
    <s v="Fail"/>
    <s v="3.6464508654170293"/>
    <x v="0"/>
    <s v="Route C"/>
    <s v="477.30763109090344"/>
  </r>
  <r>
    <x v="1"/>
    <x v="20"/>
    <s v="96.34107243996338"/>
    <n v="22"/>
    <n v="320"/>
    <s v="8128.027696851192"/>
    <x v="2"/>
    <n v="27"/>
    <n v="12"/>
    <n v="68"/>
    <n v="6"/>
    <s v="Carrier A"/>
    <s v="8.87833465092684"/>
    <x v="1"/>
    <x v="4"/>
    <n v="29"/>
    <n v="309"/>
    <n v="6"/>
    <s v="65.68625960848863"/>
    <s v="Pass"/>
    <s v="4.231416573534539"/>
    <x v="1"/>
    <s v="Route B"/>
    <s v="493.87121531620585"/>
  </r>
  <r>
    <x v="2"/>
    <x v="21"/>
    <s v="84.89386898495083"/>
    <n v="60"/>
    <n v="601"/>
    <s v="7087.052696357437"/>
    <x v="2"/>
    <n v="69"/>
    <n v="25"/>
    <n v="7"/>
    <n v="6"/>
    <s v="Carrier B"/>
    <s v="6.037883769218298"/>
    <x v="2"/>
    <x v="4"/>
    <n v="19"/>
    <n v="791"/>
    <n v="4"/>
    <s v="61.73572895416093"/>
    <s v="Pending"/>
    <s v="0.0186075676310149"/>
    <x v="1"/>
    <s v="Route C"/>
    <s v="523.360914720158"/>
  </r>
  <r>
    <x v="0"/>
    <x v="22"/>
    <s v="27.67978088650196"/>
    <n v="55"/>
    <n v="884"/>
    <s v="2390.8078665561734"/>
    <x v="2"/>
    <n v="71"/>
    <n v="1"/>
    <n v="63"/>
    <n v="10"/>
    <s v="Carrier A"/>
    <s v="9.56764892092304"/>
    <x v="3"/>
    <x v="1"/>
    <n v="22"/>
    <n v="780"/>
    <n v="28"/>
    <s v="50.12083961297735"/>
    <s v="Fail"/>
    <s v="2.591275473211116"/>
    <x v="2"/>
    <s v="Route C"/>
    <s v="205.57199582694707"/>
  </r>
  <r>
    <x v="2"/>
    <x v="23"/>
    <s v="4.324341185864164"/>
    <n v="30"/>
    <n v="391"/>
    <s v="8858.367571011484"/>
    <x v="2"/>
    <n v="84"/>
    <n v="5"/>
    <n v="29"/>
    <n v="7"/>
    <s v="Carrier A"/>
    <s v="2.924857601145554"/>
    <x v="2"/>
    <x v="1"/>
    <n v="11"/>
    <n v="568"/>
    <n v="29"/>
    <s v="98.60995724270387"/>
    <s v="Pending"/>
    <s v="1.3422915627227339"/>
    <x v="2"/>
    <s v="Route A"/>
    <s v="196.32944611241268"/>
  </r>
  <r>
    <x v="0"/>
    <x v="24"/>
    <s v="4.156308359311108"/>
    <n v="32"/>
    <n v="209"/>
    <s v="9049.077860939897"/>
    <x v="3"/>
    <n v="4"/>
    <n v="26"/>
    <n v="2"/>
    <n v="8"/>
    <s v="Carrier C"/>
    <s v="9.741291689284369"/>
    <x v="4"/>
    <x v="3"/>
    <n v="28"/>
    <n v="447"/>
    <n v="3"/>
    <s v="40.382359702924816"/>
    <s v="Pending"/>
    <s v="3.691310292628728"/>
    <x v="1"/>
    <s v="Route A"/>
    <s v="758.7247726029383"/>
  </r>
  <r>
    <x v="0"/>
    <x v="25"/>
    <s v="39.629343985092625"/>
    <n v="73"/>
    <n v="142"/>
    <s v="2174.777054350654"/>
    <x v="3"/>
    <n v="82"/>
    <n v="11"/>
    <n v="52"/>
    <n v="3"/>
    <s v="Carrier C"/>
    <s v="2.231073681281728"/>
    <x v="3"/>
    <x v="1"/>
    <n v="19"/>
    <n v="934"/>
    <n v="23"/>
    <s v="78.28038311841539"/>
    <s v="Pending"/>
    <s v="3.797231217114183"/>
    <x v="0"/>
    <s v="Route B"/>
    <s v="458.53594573920907"/>
  </r>
  <r>
    <x v="0"/>
    <x v="26"/>
    <s v="97.44694661789282"/>
    <n v="9"/>
    <n v="353"/>
    <s v="3716.493325894037"/>
    <x v="3"/>
    <n v="59"/>
    <n v="16"/>
    <n v="48"/>
    <n v="4"/>
    <s v="Carrier B"/>
    <s v="6.507548621078551"/>
    <x v="4"/>
    <x v="3"/>
    <n v="26"/>
    <n v="171"/>
    <n v="4"/>
    <s v="15.972229757181761"/>
    <s v="Pass"/>
    <s v="2.119319736724923"/>
    <x v="2"/>
    <s v="Route A"/>
    <s v="617.8669164583772"/>
  </r>
  <r>
    <x v="2"/>
    <x v="27"/>
    <s v="92.55736081240202"/>
    <n v="42"/>
    <n v="352"/>
    <s v="2686.4572235759833"/>
    <x v="2"/>
    <n v="47"/>
    <n v="9"/>
    <n v="62"/>
    <n v="8"/>
    <s v="Carrier C"/>
    <s v="7.406750952998074"/>
    <x v="2"/>
    <x v="0"/>
    <n v="25"/>
    <n v="291"/>
    <n v="4"/>
    <s v="10.528245070042162"/>
    <s v="Fail"/>
    <s v="2.864667837883373"/>
    <x v="3"/>
    <s v="Route B"/>
    <s v="762.4591821556837"/>
  </r>
  <r>
    <x v="2"/>
    <x v="28"/>
    <s v="2.397274705597141"/>
    <n v="12"/>
    <n v="394"/>
    <s v="6117.324615083992"/>
    <x v="1"/>
    <n v="48"/>
    <n v="15"/>
    <n v="24"/>
    <n v="4"/>
    <s v="Carrier B"/>
    <s v="9.898140508069222"/>
    <x v="1"/>
    <x v="0"/>
    <n v="13"/>
    <n v="171"/>
    <n v="7"/>
    <s v="59.42938181069157"/>
    <s v="Fail"/>
    <s v="0.815757079295672"/>
    <x v="1"/>
    <s v="Route A"/>
    <s v="123.43702751182708"/>
  </r>
  <r>
    <x v="2"/>
    <x v="29"/>
    <s v="63.44755918520733"/>
    <n v="3"/>
    <n v="253"/>
    <s v="8318.903194617178"/>
    <x v="1"/>
    <n v="45"/>
    <n v="5"/>
    <n v="67"/>
    <n v="7"/>
    <s v="Carrier B"/>
    <s v="8.100973145397031"/>
    <x v="1"/>
    <x v="1"/>
    <n v="16"/>
    <n v="329"/>
    <n v="7"/>
    <s v="39.29287558606575"/>
    <s v="Pass"/>
    <s v="3.878098936588488"/>
    <x v="0"/>
    <s v="Route B"/>
    <s v="764.9353759407081"/>
  </r>
  <r>
    <x v="0"/>
    <x v="30"/>
    <s v="8.022859210526393"/>
    <n v="10"/>
    <n v="327"/>
    <s v="2766.342366866089"/>
    <x v="3"/>
    <n v="60"/>
    <n v="26"/>
    <n v="35"/>
    <n v="7"/>
    <s v="Carrier B"/>
    <s v="8.954528315318015"/>
    <x v="3"/>
    <x v="1"/>
    <n v="27"/>
    <n v="806"/>
    <n v="30"/>
    <s v="51.634893400109334"/>
    <s v="Pending"/>
    <s v="0.9653947053523931"/>
    <x v="0"/>
    <s v="Route C"/>
    <s v="880.080988247161"/>
  </r>
  <r>
    <x v="1"/>
    <x v="31"/>
    <s v="50.8473930517187"/>
    <n v="28"/>
    <n v="168"/>
    <s v="9655.135102719398"/>
    <x v="3"/>
    <n v="6"/>
    <n v="17"/>
    <n v="44"/>
    <n v="4"/>
    <s v="Carrier B"/>
    <s v="2.6796609649814065"/>
    <x v="0"/>
    <x v="4"/>
    <n v="24"/>
    <n v="461"/>
    <n v="8"/>
    <s v="60.25114566159808"/>
    <s v="Pending"/>
    <s v="2.9890000066550746"/>
    <x v="2"/>
    <s v="Route C"/>
    <s v="609.3792066184267"/>
  </r>
  <r>
    <x v="1"/>
    <x v="32"/>
    <s v="79.20993601565672"/>
    <n v="43"/>
    <n v="781"/>
    <s v="9571.550487327819"/>
    <x v="2"/>
    <n v="89"/>
    <n v="13"/>
    <n v="64"/>
    <n v="4"/>
    <s v="Carrier C"/>
    <s v="6.599104901238584"/>
    <x v="0"/>
    <x v="1"/>
    <n v="30"/>
    <n v="737"/>
    <n v="7"/>
    <s v="29.692467153749774"/>
    <s v="Pass"/>
    <s v="1.946036119386113"/>
    <x v="0"/>
    <s v="Route A"/>
    <s v="761.1739095148776"/>
  </r>
  <r>
    <x v="2"/>
    <x v="33"/>
    <s v="64.7954350001556"/>
    <n v="63"/>
    <n v="616"/>
    <s v="5149.9983504080365"/>
    <x v="0"/>
    <n v="4"/>
    <n v="17"/>
    <n v="95"/>
    <n v="9"/>
    <s v="Carrier C"/>
    <s v="4.85827050343664"/>
    <x v="2"/>
    <x v="4"/>
    <n v="1"/>
    <n v="251"/>
    <n v="23"/>
    <s v="23.853427512896133"/>
    <s v="Fail"/>
    <s v="3.541046012250923"/>
    <x v="3"/>
    <s v="Route A"/>
    <s v="371.255295519871"/>
  </r>
  <r>
    <x v="1"/>
    <x v="34"/>
    <s v="37.46759232984246"/>
    <n v="96"/>
    <n v="602"/>
    <s v="9061.710895507724"/>
    <x v="2"/>
    <n v="1"/>
    <n v="26"/>
    <n v="21"/>
    <n v="7"/>
    <s v="Carrier A"/>
    <s v="1.019487570822119"/>
    <x v="1"/>
    <x v="4"/>
    <n v="4"/>
    <n v="452"/>
    <n v="10"/>
    <s v="10.754272815029333"/>
    <s v="Pass"/>
    <s v="0.6466045593720549"/>
    <x v="0"/>
    <s v="Route B"/>
    <s v="510.3580004335235"/>
  </r>
  <r>
    <x v="2"/>
    <x v="35"/>
    <s v="84.95778681635043"/>
    <n v="11"/>
    <n v="449"/>
    <s v="6541.329344802465"/>
    <x v="1"/>
    <n v="42"/>
    <n v="27"/>
    <n v="85"/>
    <n v="8"/>
    <s v="Carrier C"/>
    <s v="5.288189990327409"/>
    <x v="1"/>
    <x v="2"/>
    <n v="3"/>
    <n v="367"/>
    <n v="2"/>
    <s v="58.004787044743765"/>
    <s v="Pass"/>
    <s v="0.5411540980605811"/>
    <x v="3"/>
    <s v="Route C"/>
    <s v="553.4204712303558"/>
  </r>
  <r>
    <x v="1"/>
    <x v="36"/>
    <s v="9.813002578754052"/>
    <n v="34"/>
    <n v="963"/>
    <s v="7573.402457848733"/>
    <x v="1"/>
    <n v="18"/>
    <n v="23"/>
    <n v="28"/>
    <n v="3"/>
    <s v="Carrier B"/>
    <s v="2.107951267159081"/>
    <x v="4"/>
    <x v="2"/>
    <n v="26"/>
    <n v="671"/>
    <n v="19"/>
    <s v="45.531364237162144"/>
    <s v="Fail"/>
    <s v="3.8055333792433537"/>
    <x v="1"/>
    <s v="Route C"/>
    <s v="403.8089742481805"/>
  </r>
  <r>
    <x v="1"/>
    <x v="37"/>
    <s v="23.39984475261435"/>
    <n v="5"/>
    <n v="963"/>
    <s v="2438.339930470029"/>
    <x v="1"/>
    <n v="25"/>
    <n v="8"/>
    <n v="21"/>
    <n v="9"/>
    <s v="Carrier A"/>
    <s v="1.5326552735904306"/>
    <x v="0"/>
    <x v="1"/>
    <n v="24"/>
    <n v="867"/>
    <n v="15"/>
    <s v="34.34327746507538"/>
    <s v="Pending"/>
    <s v="2.610288084848113"/>
    <x v="3"/>
    <s v="Route A"/>
    <s v="183.93296804359437"/>
  </r>
  <r>
    <x v="2"/>
    <x v="38"/>
    <s v="52.0759306827078"/>
    <n v="75"/>
    <n v="705"/>
    <s v="9692.318040218432"/>
    <x v="0"/>
    <n v="69"/>
    <n v="1"/>
    <n v="88"/>
    <n v="5"/>
    <s v="Carrier B"/>
    <s v="9.235931437249228"/>
    <x v="2"/>
    <x v="0"/>
    <n v="10"/>
    <n v="841"/>
    <n v="12"/>
    <s v="5.930693645528318"/>
    <s v="Pending"/>
    <s v="0.6133268991645074"/>
    <x v="1"/>
    <s v="Route B"/>
    <s v="339.67286994860615"/>
  </r>
  <r>
    <x v="1"/>
    <x v="39"/>
    <s v="19.127477265823256"/>
    <n v="26"/>
    <n v="176"/>
    <s v="1912.4656631007608"/>
    <x v="1"/>
    <n v="78"/>
    <n v="29"/>
    <n v="34"/>
    <n v="3"/>
    <s v="Carrier A"/>
    <s v="5.562503778830384"/>
    <x v="4"/>
    <x v="1"/>
    <n v="30"/>
    <n v="791"/>
    <n v="6"/>
    <s v="9.005807428781642"/>
    <s v="Fail"/>
    <s v="1.451972203996816"/>
    <x v="1"/>
    <s v="Route B"/>
    <s v="653.6729945520332"/>
  </r>
  <r>
    <x v="1"/>
    <x v="40"/>
    <s v="80.54142417094033"/>
    <n v="97"/>
    <n v="933"/>
    <s v="5724.959350456265"/>
    <x v="1"/>
    <n v="90"/>
    <n v="20"/>
    <n v="39"/>
    <n v="8"/>
    <s v="Carrier C"/>
    <s v="7.229595139736474"/>
    <x v="1"/>
    <x v="1"/>
    <n v="18"/>
    <n v="793"/>
    <n v="1"/>
    <s v="88.17940710421746"/>
    <s v="Pending"/>
    <s v="4.213269430586566"/>
    <x v="0"/>
    <s v="Route A"/>
    <s v="529.8087239806919"/>
  </r>
  <r>
    <x v="1"/>
    <x v="41"/>
    <s v="99.11329161531717"/>
    <n v="35"/>
    <n v="556"/>
    <s v="5521.2052590109715"/>
    <x v="1"/>
    <n v="64"/>
    <n v="19"/>
    <n v="38"/>
    <n v="8"/>
    <s v="Carrier B"/>
    <s v="5.773263743766654"/>
    <x v="3"/>
    <x v="4"/>
    <n v="18"/>
    <n v="892"/>
    <n v="7"/>
    <s v="95.3320645487725"/>
    <s v="Fail"/>
    <s v="0.04530226239825963"/>
    <x v="3"/>
    <s v="Route A"/>
    <s v="275.5243711313098"/>
  </r>
  <r>
    <x v="1"/>
    <x v="42"/>
    <s v="46.52916761451677"/>
    <n v="98"/>
    <n v="155"/>
    <s v="1839.609425856764"/>
    <x v="1"/>
    <n v="22"/>
    <n v="27"/>
    <n v="57"/>
    <n v="4"/>
    <s v="Carrier C"/>
    <s v="7.526248326851508"/>
    <x v="2"/>
    <x v="3"/>
    <n v="26"/>
    <n v="179"/>
    <n v="7"/>
    <s v="96.42282063957187"/>
    <s v="Fail"/>
    <s v="4.939255288620948"/>
    <x v="0"/>
    <s v="Route A"/>
    <s v="635.6571205019919"/>
  </r>
  <r>
    <x v="0"/>
    <x v="43"/>
    <s v="11.74327177630924"/>
    <n v="6"/>
    <n v="598"/>
    <s v="5737.425599119023"/>
    <x v="2"/>
    <n v="36"/>
    <n v="29"/>
    <n v="85"/>
    <n v="9"/>
    <s v="Carrier B"/>
    <s v="3.6940212683884543"/>
    <x v="2"/>
    <x v="0"/>
    <n v="1"/>
    <n v="206"/>
    <n v="23"/>
    <s v="26.27736595733241"/>
    <s v="Pending"/>
    <s v="0.3723047679850977"/>
    <x v="1"/>
    <s v="Route A"/>
    <s v="716.0441197593407"/>
  </r>
  <r>
    <x v="2"/>
    <x v="44"/>
    <s v="51.35579091311039"/>
    <n v="34"/>
    <n v="919"/>
    <s v="7152.2860494355145"/>
    <x v="1"/>
    <n v="13"/>
    <n v="19"/>
    <n v="72"/>
    <n v="6"/>
    <s v="Carrier C"/>
    <s v="7.577449657376693"/>
    <x v="4"/>
    <x v="2"/>
    <n v="7"/>
    <n v="834"/>
    <n v="18"/>
    <s v="22.554106620887744"/>
    <s v="Fail"/>
    <s v="2.962626320454882"/>
    <x v="2"/>
    <s v="Route A"/>
    <s v="610.4532696192277"/>
  </r>
  <r>
    <x v="0"/>
    <x v="45"/>
    <s v="33.78413803306551"/>
    <n v="1"/>
    <n v="24"/>
    <s v="5267.956807510521"/>
    <x v="3"/>
    <n v="93"/>
    <n v="7"/>
    <n v="52"/>
    <n v="6"/>
    <s v="Carrier B"/>
    <s v="5.21515500871191"/>
    <x v="4"/>
    <x v="4"/>
    <n v="25"/>
    <n v="794"/>
    <n v="25"/>
    <s v="66.31254443999165"/>
    <s v="Pass"/>
    <s v="3.219604612084106"/>
    <x v="2"/>
    <s v="Route A"/>
    <s v="495.30569702847396"/>
  </r>
  <r>
    <x v="0"/>
    <x v="46"/>
    <s v="27.0822071998889"/>
    <n v="75"/>
    <n v="859"/>
    <s v="2556.7673606335957"/>
    <x v="0"/>
    <n v="92"/>
    <n v="29"/>
    <n v="6"/>
    <n v="8"/>
    <s v="Carrier B"/>
    <s v="4.070955837084083"/>
    <x v="0"/>
    <x v="4"/>
    <n v="18"/>
    <n v="870"/>
    <n v="23"/>
    <s v="77.32235321105162"/>
    <s v="Pending"/>
    <s v="3.6486105925362033"/>
    <x v="0"/>
    <s v="Route B"/>
    <s v="380.4359371119643"/>
  </r>
  <r>
    <x v="1"/>
    <x v="47"/>
    <s v="95.71213588093609"/>
    <n v="93"/>
    <n v="910"/>
    <s v="7089.474249934186"/>
    <x v="3"/>
    <n v="4"/>
    <n v="15"/>
    <n v="51"/>
    <n v="9"/>
    <s v="Carrier B"/>
    <s v="8.97875075594997"/>
    <x v="1"/>
    <x v="1"/>
    <n v="10"/>
    <n v="964"/>
    <n v="20"/>
    <s v="19.712992911293647"/>
    <s v="Pending"/>
    <s v="0.38057358671321373"/>
    <x v="2"/>
    <s v="Route A"/>
    <s v="581.6023550505868"/>
  </r>
  <r>
    <x v="0"/>
    <x v="48"/>
    <s v="76.03554442689172"/>
    <n v="28"/>
    <n v="29"/>
    <s v="7397.07100458718"/>
    <x v="0"/>
    <n v="30"/>
    <n v="16"/>
    <n v="9"/>
    <n v="3"/>
    <s v="Carrier C"/>
    <s v="7.0958331565551385"/>
    <x v="4"/>
    <x v="0"/>
    <n v="9"/>
    <n v="109"/>
    <n v="18"/>
    <s v="23.126363582464776"/>
    <s v="Fail"/>
    <s v="1.6981125407144038"/>
    <x v="2"/>
    <s v="Route B"/>
    <s v="768.65191395437"/>
  </r>
  <r>
    <x v="2"/>
    <x v="49"/>
    <s v="78.89791320564004"/>
    <n v="19"/>
    <n v="99"/>
    <s v="8001.613206519002"/>
    <x v="2"/>
    <n v="97"/>
    <n v="24"/>
    <n v="9"/>
    <n v="6"/>
    <s v="Carrier C"/>
    <s v="2.5056210329009154"/>
    <x v="2"/>
    <x v="2"/>
    <n v="28"/>
    <n v="177"/>
    <n v="28"/>
    <s v="14.147815443979217"/>
    <s v="Pass"/>
    <s v="2.825813985400132"/>
    <x v="2"/>
    <s v="Route A"/>
    <s v="336.8901685199779"/>
  </r>
  <r>
    <x v="2"/>
    <x v="50"/>
    <s v="14.203484264803022"/>
    <n v="91"/>
    <n v="633"/>
    <s v="5910.885389668899"/>
    <x v="1"/>
    <n v="31"/>
    <n v="23"/>
    <n v="82"/>
    <n v="10"/>
    <s v="Carrier A"/>
    <s v="6.247860914975991"/>
    <x v="4"/>
    <x v="2"/>
    <n v="20"/>
    <n v="306"/>
    <n v="21"/>
    <s v="45.17875792463452"/>
    <s v="Fail"/>
    <s v="4.754800804671185"/>
    <x v="2"/>
    <s v="Route B"/>
    <s v="496.24865029194046"/>
  </r>
  <r>
    <x v="0"/>
    <x v="51"/>
    <s v="26.70076097246173"/>
    <n v="61"/>
    <n v="154"/>
    <s v="9866.465457979697"/>
    <x v="3"/>
    <n v="100"/>
    <n v="4"/>
    <n v="52"/>
    <n v="1"/>
    <s v="Carrier A"/>
    <s v="4.783000557947665"/>
    <x v="2"/>
    <x v="3"/>
    <n v="18"/>
    <n v="673"/>
    <n v="28"/>
    <s v="14.19032834456998"/>
    <s v="Pending"/>
    <s v="1.7729511720835571"/>
    <x v="0"/>
    <s v="Route A"/>
    <s v="694.9823175794459"/>
  </r>
  <r>
    <x v="1"/>
    <x v="52"/>
    <s v="98.03182965646508"/>
    <n v="1"/>
    <n v="820"/>
    <s v="9435.76260891213"/>
    <x v="3"/>
    <n v="64"/>
    <n v="11"/>
    <n v="11"/>
    <n v="1"/>
    <s v="Carrier B"/>
    <s v="8.631052179768947"/>
    <x v="1"/>
    <x v="0"/>
    <n v="10"/>
    <n v="727"/>
    <n v="27"/>
    <s v="9.166849148597151"/>
    <s v="Pending"/>
    <s v="2.1224716191438247"/>
    <x v="1"/>
    <s v="Route C"/>
    <s v="602.8984988383834"/>
  </r>
  <r>
    <x v="1"/>
    <x v="53"/>
    <s v="30.341470711214214"/>
    <n v="93"/>
    <n v="242"/>
    <s v="8232.334829425821"/>
    <x v="3"/>
    <n v="96"/>
    <n v="25"/>
    <n v="54"/>
    <n v="3"/>
    <s v="Carrier B"/>
    <s v="1.0134865660958963"/>
    <x v="1"/>
    <x v="2"/>
    <n v="1"/>
    <n v="631"/>
    <n v="17"/>
    <s v="83.34405899167797"/>
    <s v="Pending"/>
    <s v="1.4103475760760271"/>
    <x v="1"/>
    <s v="Route B"/>
    <s v="750.7378406682709"/>
  </r>
  <r>
    <x v="0"/>
    <x v="54"/>
    <s v="31.146243160240854"/>
    <n v="11"/>
    <n v="622"/>
    <s v="6088.021479940859"/>
    <x v="0"/>
    <n v="33"/>
    <n v="22"/>
    <n v="61"/>
    <n v="3"/>
    <s v="Carrier B"/>
    <s v="4.3051034712876355"/>
    <x v="1"/>
    <x v="1"/>
    <n v="26"/>
    <n v="497"/>
    <n v="29"/>
    <s v="30.186023375822508"/>
    <s v="Pass"/>
    <s v="2.4787719755397477"/>
    <x v="0"/>
    <s v="Route B"/>
    <s v="814.0699965821875"/>
  </r>
  <r>
    <x v="0"/>
    <x v="55"/>
    <s v="79.85505834078943"/>
    <n v="16"/>
    <n v="701"/>
    <s v="2925.6751703038126"/>
    <x v="3"/>
    <n v="97"/>
    <n v="11"/>
    <n v="11"/>
    <n v="5"/>
    <s v="Carrier A"/>
    <s v="5.014364955030907"/>
    <x v="4"/>
    <x v="2"/>
    <n v="27"/>
    <n v="918"/>
    <n v="5"/>
    <s v="30.3235452566165"/>
    <s v="Fail"/>
    <s v="4.548919659396385"/>
    <x v="3"/>
    <s v="Route B"/>
    <s v="323.01292795247883"/>
  </r>
  <r>
    <x v="1"/>
    <x v="56"/>
    <s v="20.986386037043378"/>
    <n v="90"/>
    <n v="93"/>
    <s v="4767.020484344137"/>
    <x v="0"/>
    <n v="25"/>
    <n v="23"/>
    <n v="83"/>
    <n v="5"/>
    <s v="Carrier C"/>
    <s v="1.7744297140717396"/>
    <x v="1"/>
    <x v="0"/>
    <n v="24"/>
    <n v="826"/>
    <n v="28"/>
    <s v="12.836284572832753"/>
    <s v="Pass"/>
    <s v="1.173755495387454"/>
    <x v="1"/>
    <s v="Route B"/>
    <s v="832.2108087060217"/>
  </r>
  <r>
    <x v="0"/>
    <x v="57"/>
    <s v="49.263205350734154"/>
    <n v="65"/>
    <n v="227"/>
    <s v="1605.8669003924058"/>
    <x v="2"/>
    <n v="5"/>
    <n v="18"/>
    <n v="51"/>
    <n v="1"/>
    <s v="Carrier B"/>
    <s v="9.16055853538187"/>
    <x v="4"/>
    <x v="2"/>
    <n v="21"/>
    <n v="588"/>
    <n v="25"/>
    <s v="67.77962298707814"/>
    <s v="Pending"/>
    <s v="2.511174830212707"/>
    <x v="2"/>
    <s v="Route A"/>
    <s v="482.19123860252813"/>
  </r>
  <r>
    <x v="1"/>
    <x v="58"/>
    <s v="59.84156137728931"/>
    <n v="81"/>
    <n v="896"/>
    <s v="2021.1498103371077"/>
    <x v="0"/>
    <n v="10"/>
    <n v="5"/>
    <n v="44"/>
    <n v="7"/>
    <s v="Carrier A"/>
    <s v="4.93843856471209"/>
    <x v="0"/>
    <x v="2"/>
    <n v="18"/>
    <n v="396"/>
    <n v="7"/>
    <s v="65.04741509469146"/>
    <s v="Fail"/>
    <s v="1.7303747198591968"/>
    <x v="0"/>
    <s v="Route B"/>
    <s v="110.36433523136472"/>
  </r>
  <r>
    <x v="2"/>
    <x v="59"/>
    <s v="63.828398347710966"/>
    <n v="30"/>
    <n v="484"/>
    <s v="1061.618523013288"/>
    <x v="0"/>
    <n v="100"/>
    <n v="16"/>
    <n v="26"/>
    <n v="7"/>
    <s v="Carrier B"/>
    <s v="7.293722596867728"/>
    <x v="1"/>
    <x v="1"/>
    <n v="11"/>
    <n v="176"/>
    <n v="4"/>
    <s v="1.900762243519458"/>
    <s v="Fail"/>
    <s v="0.4471940154638232"/>
    <x v="1"/>
    <s v="Route A"/>
    <s v="312.5742736100933"/>
  </r>
  <r>
    <x v="1"/>
    <x v="60"/>
    <s v="17.028027920188702"/>
    <n v="16"/>
    <n v="380"/>
    <s v="8864.084349586436"/>
    <x v="1"/>
    <n v="41"/>
    <n v="27"/>
    <n v="72"/>
    <n v="8"/>
    <s v="Carrier C"/>
    <s v="4.3813681581023145"/>
    <x v="3"/>
    <x v="0"/>
    <n v="29"/>
    <n v="929"/>
    <n v="24"/>
    <s v="87.21305781513568"/>
    <s v="Fail"/>
    <s v="2.853090616649054"/>
    <x v="2"/>
    <s v="Route A"/>
    <s v="430.16909697513654"/>
  </r>
  <r>
    <x v="0"/>
    <x v="61"/>
    <s v="52.02874990329492"/>
    <n v="23"/>
    <n v="117"/>
    <s v="6885.589350896253"/>
    <x v="2"/>
    <n v="32"/>
    <n v="23"/>
    <n v="36"/>
    <n v="7"/>
    <s v="Carrier C"/>
    <s v="9.030340422521949"/>
    <x v="3"/>
    <x v="1"/>
    <n v="14"/>
    <n v="480"/>
    <n v="12"/>
    <s v="78.7023939688789"/>
    <s v="Fail"/>
    <s v="4.367470538205053"/>
    <x v="1"/>
    <s v="Route A"/>
    <s v="164.36652824341942"/>
  </r>
  <r>
    <x v="2"/>
    <x v="62"/>
    <s v="72.79635395558736"/>
    <n v="89"/>
    <n v="270"/>
    <s v="3899.7468337292244"/>
    <x v="2"/>
    <n v="86"/>
    <n v="2"/>
    <n v="40"/>
    <n v="7"/>
    <s v="Carrier C"/>
    <s v="7.291701388776776"/>
    <x v="4"/>
    <x v="0"/>
    <n v="13"/>
    <n v="751"/>
    <n v="14"/>
    <s v="21.048642725168644"/>
    <s v="Pass"/>
    <s v="1.8740014040443747"/>
    <x v="3"/>
    <s v="Route C"/>
    <s v="320.8465157591116"/>
  </r>
  <r>
    <x v="1"/>
    <x v="63"/>
    <s v="13.017376785287857"/>
    <n v="55"/>
    <n v="246"/>
    <s v="4256.949140850225"/>
    <x v="0"/>
    <n v="54"/>
    <n v="19"/>
    <n v="10"/>
    <n v="4"/>
    <s v="Carrier A"/>
    <s v="2.45793352798733"/>
    <x v="0"/>
    <x v="3"/>
    <n v="18"/>
    <n v="736"/>
    <n v="10"/>
    <s v="20.075003975630484"/>
    <s v="Pending"/>
    <s v="3.6328432903821337"/>
    <x v="3"/>
    <s v="Route A"/>
    <s v="687.2861778664173"/>
  </r>
  <r>
    <x v="1"/>
    <x v="64"/>
    <s v="89.63409560813533"/>
    <n v="11"/>
    <n v="134"/>
    <s v="8458.730878367178"/>
    <x v="1"/>
    <n v="73"/>
    <n v="27"/>
    <n v="75"/>
    <n v="6"/>
    <s v="Carrier C"/>
    <s v="4.585353468194652"/>
    <x v="1"/>
    <x v="2"/>
    <n v="17"/>
    <n v="328"/>
    <n v="6"/>
    <s v="8.693042425877287"/>
    <s v="Fail"/>
    <s v="0.15948631471751462"/>
    <x v="1"/>
    <s v="Route C"/>
    <s v="771.2250846811575"/>
  </r>
  <r>
    <x v="1"/>
    <x v="65"/>
    <s v="33.69771720664313"/>
    <n v="72"/>
    <n v="457"/>
    <s v="8354.579686481995"/>
    <x v="3"/>
    <n v="57"/>
    <n v="24"/>
    <n v="54"/>
    <n v="8"/>
    <s v="Carrier C"/>
    <s v="6.580541347884595"/>
    <x v="2"/>
    <x v="1"/>
    <n v="16"/>
    <n v="358"/>
    <n v="21"/>
    <s v="1.5972227430506774"/>
    <s v="Fail"/>
    <s v="4.911095954842331"/>
    <x v="2"/>
    <s v="Route C"/>
    <s v="555.8591036717435"/>
  </r>
  <r>
    <x v="1"/>
    <x v="66"/>
    <s v="26.034869773962086"/>
    <n v="52"/>
    <n v="704"/>
    <s v="8367.721618020154"/>
    <x v="1"/>
    <n v="13"/>
    <n v="17"/>
    <n v="19"/>
    <n v="8"/>
    <s v="Carrier A"/>
    <s v="2.2161427287713633"/>
    <x v="2"/>
    <x v="1"/>
    <n v="24"/>
    <n v="867"/>
    <n v="28"/>
    <s v="42.08443673830996"/>
    <s v="Fail"/>
    <s v="3.4480632883402618"/>
    <x v="0"/>
    <s v="Route A"/>
    <s v="393.8433485784279"/>
  </r>
  <r>
    <x v="1"/>
    <x v="67"/>
    <s v="87.75543235400107"/>
    <n v="16"/>
    <n v="513"/>
    <s v="9473.798032508337"/>
    <x v="2"/>
    <n v="12"/>
    <n v="9"/>
    <n v="71"/>
    <n v="9"/>
    <s v="Carrier C"/>
    <s v="9.147811544710633"/>
    <x v="1"/>
    <x v="0"/>
    <n v="10"/>
    <n v="198"/>
    <n v="11"/>
    <s v="7.057876146978231"/>
    <s v="Pass"/>
    <s v="0.13195544431181483"/>
    <x v="3"/>
    <s v="Route C"/>
    <s v="169.2718013847869"/>
  </r>
  <r>
    <x v="0"/>
    <x v="68"/>
    <s v="37.93181238279032"/>
    <n v="29"/>
    <n v="163"/>
    <s v="3550.218432780992"/>
    <x v="0"/>
    <n v="0"/>
    <n v="8"/>
    <n v="58"/>
    <n v="8"/>
    <s v="Carrier B"/>
    <s v="1.1942518648849991"/>
    <x v="4"/>
    <x v="3"/>
    <n v="2"/>
    <n v="375"/>
    <n v="18"/>
    <s v="97.1135815634622"/>
    <s v="Fail"/>
    <s v="1.98346787217418"/>
    <x v="2"/>
    <s v="Route A"/>
    <s v="299.70630311810316"/>
  </r>
  <r>
    <x v="1"/>
    <x v="69"/>
    <s v="54.86552851706979"/>
    <n v="62"/>
    <n v="511"/>
    <s v="1752.3810874841247"/>
    <x v="0"/>
    <n v="95"/>
    <n v="1"/>
    <n v="27"/>
    <n v="3"/>
    <s v="Carrier B"/>
    <s v="9.705286790120349"/>
    <x v="3"/>
    <x v="1"/>
    <n v="9"/>
    <n v="862"/>
    <n v="7"/>
    <s v="77.62776581274817"/>
    <s v="Pending"/>
    <s v="1.3623879886491086"/>
    <x v="1"/>
    <s v="Route A"/>
    <s v="207.66320620857562"/>
  </r>
  <r>
    <x v="0"/>
    <x v="70"/>
    <s v="47.914541824058766"/>
    <n v="90"/>
    <n v="32"/>
    <s v="7014.887987203389"/>
    <x v="1"/>
    <n v="10"/>
    <n v="12"/>
    <n v="22"/>
    <n v="4"/>
    <s v="Carrier B"/>
    <s v="6.315717754600723"/>
    <x v="1"/>
    <x v="3"/>
    <n v="22"/>
    <n v="775"/>
    <n v="16"/>
    <s v="11.440781823761265"/>
    <s v="Pass"/>
    <s v="1.8305755986122314"/>
    <x v="0"/>
    <s v="Route C"/>
    <s v="183.27289874871101"/>
  </r>
  <r>
    <x v="2"/>
    <x v="71"/>
    <s v="6.381533162747966"/>
    <n v="14"/>
    <n v="637"/>
    <s v="8180.337085425443"/>
    <x v="1"/>
    <n v="76"/>
    <n v="2"/>
    <n v="26"/>
    <n v="6"/>
    <s v="Carrier A"/>
    <s v="9.228190317052517"/>
    <x v="4"/>
    <x v="3"/>
    <n v="2"/>
    <n v="258"/>
    <n v="10"/>
    <s v="30.661677477859556"/>
    <s v="Pending"/>
    <s v="2.078750607874969"/>
    <x v="0"/>
    <s v="Route A"/>
    <s v="405.16706788885585"/>
  </r>
  <r>
    <x v="2"/>
    <x v="72"/>
    <s v="90.20442752052807"/>
    <n v="88"/>
    <n v="478"/>
    <s v="2633.1219813122557"/>
    <x v="0"/>
    <n v="57"/>
    <n v="29"/>
    <n v="77"/>
    <n v="9"/>
    <s v="Carrier A"/>
    <s v="6.599614159689544"/>
    <x v="1"/>
    <x v="3"/>
    <n v="21"/>
    <n v="152"/>
    <n v="11"/>
    <s v="55.76049289524421"/>
    <s v="Pending"/>
    <s v="3.213329607438309"/>
    <x v="2"/>
    <s v="Route B"/>
    <s v="677.9445698461833"/>
  </r>
  <r>
    <x v="2"/>
    <x v="73"/>
    <s v="83.8510176813046"/>
    <n v="41"/>
    <n v="375"/>
    <s v="7910.886916140686"/>
    <x v="3"/>
    <n v="17"/>
    <n v="25"/>
    <n v="66"/>
    <n v="5"/>
    <s v="Carrier B"/>
    <s v="1.5129368369160772"/>
    <x v="3"/>
    <x v="4"/>
    <n v="13"/>
    <n v="444"/>
    <n v="4"/>
    <s v="46.870238797617155"/>
    <s v="Fail"/>
    <s v="4.620546064513706"/>
    <x v="0"/>
    <s v="Route A"/>
    <s v="866.4728001296578"/>
  </r>
  <r>
    <x v="0"/>
    <x v="74"/>
    <s v="3.170011413566155"/>
    <n v="64"/>
    <n v="904"/>
    <s v="5709.945295969287"/>
    <x v="1"/>
    <n v="41"/>
    <n v="6"/>
    <n v="1"/>
    <n v="5"/>
    <s v="Carrier A"/>
    <s v="5.237654650037448"/>
    <x v="3"/>
    <x v="2"/>
    <n v="1"/>
    <n v="919"/>
    <n v="9"/>
    <s v="80.58085215644782"/>
    <s v="Fail"/>
    <s v="0.3966127241099354"/>
    <x v="2"/>
    <s v="Route A"/>
    <s v="341.55265678322337"/>
  </r>
  <r>
    <x v="1"/>
    <x v="75"/>
    <s v="92.99688423397066"/>
    <n v="29"/>
    <n v="106"/>
    <s v="1889.073589779335"/>
    <x v="0"/>
    <n v="16"/>
    <n v="20"/>
    <n v="56"/>
    <n v="10"/>
    <s v="Carrier C"/>
    <s v="2.473897761045461"/>
    <x v="1"/>
    <x v="4"/>
    <n v="25"/>
    <n v="759"/>
    <n v="11"/>
    <s v="48.06478264000659"/>
    <s v="Pass"/>
    <s v="2.0300690886687516"/>
    <x v="1"/>
    <s v="Route C"/>
    <s v="873.1296480176514"/>
  </r>
  <r>
    <x v="0"/>
    <x v="76"/>
    <s v="69.10879954743032"/>
    <n v="23"/>
    <n v="241"/>
    <s v="5328.375984297758"/>
    <x v="3"/>
    <n v="38"/>
    <n v="1"/>
    <n v="22"/>
    <n v="10"/>
    <s v="Carrier A"/>
    <s v="7.054538336836926"/>
    <x v="4"/>
    <x v="3"/>
    <n v="25"/>
    <n v="985"/>
    <n v="24"/>
    <s v="64.32359779560022"/>
    <s v="Pending"/>
    <s v="2.1800374515822165"/>
    <x v="2"/>
    <s v="Route A"/>
    <s v="997.4134501331946"/>
  </r>
  <r>
    <x v="0"/>
    <x v="77"/>
    <s v="57.44974295897148"/>
    <n v="14"/>
    <n v="359"/>
    <s v="2483.7601775427947"/>
    <x v="2"/>
    <n v="96"/>
    <n v="28"/>
    <n v="57"/>
    <n v="4"/>
    <s v="Carrier B"/>
    <s v="6.780946625617895"/>
    <x v="1"/>
    <x v="1"/>
    <n v="26"/>
    <n v="334"/>
    <n v="5"/>
    <s v="42.95244474899184"/>
    <s v="Pass"/>
    <s v="3.055141818307548"/>
    <x v="0"/>
    <s v="Route B"/>
    <s v="852.56809891985"/>
  </r>
  <r>
    <x v="0"/>
    <x v="78"/>
    <s v="6.306883176111915"/>
    <n v="50"/>
    <n v="946"/>
    <s v="1292.4584179377562"/>
    <x v="2"/>
    <n v="5"/>
    <n v="4"/>
    <n v="51"/>
    <n v="5"/>
    <s v="Carrier B"/>
    <s v="8.46704977086199"/>
    <x v="2"/>
    <x v="0"/>
    <n v="25"/>
    <n v="858"/>
    <n v="21"/>
    <s v="71.12651472040338"/>
    <s v="Pending"/>
    <s v="4.096881332470452"/>
    <x v="3"/>
    <s v="Route C"/>
    <s v="323.59220343132216"/>
  </r>
  <r>
    <x v="0"/>
    <x v="79"/>
    <s v="57.05703122110322"/>
    <n v="56"/>
    <n v="198"/>
    <s v="7888.723268427081"/>
    <x v="0"/>
    <n v="31"/>
    <n v="25"/>
    <n v="20"/>
    <n v="1"/>
    <s v="Carrier B"/>
    <s v="6.4963253642950445"/>
    <x v="0"/>
    <x v="3"/>
    <n v="5"/>
    <n v="228"/>
    <n v="12"/>
    <s v="57.87090292403628"/>
    <s v="Pending"/>
    <s v="0.16587162748060824"/>
    <x v="1"/>
    <s v="Route C"/>
    <s v="351.50421933503867"/>
  </r>
  <r>
    <x v="1"/>
    <x v="80"/>
    <s v="91.12831835044433"/>
    <n v="75"/>
    <n v="872"/>
    <s v="8651.672682982065"/>
    <x v="2"/>
    <n v="39"/>
    <n v="14"/>
    <n v="41"/>
    <n v="2"/>
    <s v="Carrier C"/>
    <s v="2.8331846794189746"/>
    <x v="0"/>
    <x v="4"/>
    <n v="8"/>
    <n v="202"/>
    <n v="5"/>
    <s v="76.96122802382001"/>
    <s v="Fail"/>
    <s v="2.8496621985053308"/>
    <x v="3"/>
    <s v="Route B"/>
    <s v="787.7798504943445"/>
  </r>
  <r>
    <x v="0"/>
    <x v="81"/>
    <s v="72.81920693031822"/>
    <n v="9"/>
    <n v="774"/>
    <s v="4384.4134000458625"/>
    <x v="2"/>
    <n v="48"/>
    <n v="6"/>
    <n v="8"/>
    <n v="5"/>
    <s v="Carrier B"/>
    <s v="4.066277501512044"/>
    <x v="0"/>
    <x v="2"/>
    <n v="28"/>
    <n v="698"/>
    <n v="1"/>
    <s v="19.789592941903603"/>
    <s v="Pending"/>
    <s v="2.5475471215487118"/>
    <x v="2"/>
    <s v="Route B"/>
    <s v="276.77833594679885"/>
  </r>
  <r>
    <x v="1"/>
    <x v="82"/>
    <s v="17.034930739467917"/>
    <n v="13"/>
    <n v="336"/>
    <s v="2943.3818676094515"/>
    <x v="2"/>
    <n v="42"/>
    <n v="19"/>
    <n v="72"/>
    <n v="1"/>
    <s v="Carrier A"/>
    <s v="4.70818187354193"/>
    <x v="4"/>
    <x v="0"/>
    <n v="6"/>
    <n v="955"/>
    <n v="26"/>
    <s v="4.46527843494324"/>
    <s v="Pending"/>
    <s v="4.137877048622357"/>
    <x v="0"/>
    <s v="Route C"/>
    <s v="589.9785556280407"/>
  </r>
  <r>
    <x v="0"/>
    <x v="83"/>
    <s v="68.91124621160633"/>
    <n v="82"/>
    <n v="663"/>
    <s v="2411.754632110491"/>
    <x v="2"/>
    <n v="65"/>
    <n v="24"/>
    <n v="7"/>
    <n v="8"/>
    <s v="Carrier B"/>
    <s v="4.949839577996949"/>
    <x v="1"/>
    <x v="3"/>
    <n v="20"/>
    <n v="443"/>
    <n v="5"/>
    <s v="97.73059380053304"/>
    <s v="Fail"/>
    <s v="0.7730061340672478"/>
    <x v="0"/>
    <s v="Route A"/>
    <s v="682.9710182260933"/>
  </r>
  <r>
    <x v="0"/>
    <x v="84"/>
    <s v="89.10436729210225"/>
    <n v="99"/>
    <n v="618"/>
    <s v="2048.2900998487103"/>
    <x v="2"/>
    <n v="73"/>
    <n v="26"/>
    <n v="80"/>
    <n v="10"/>
    <s v="Carrier A"/>
    <s v="8.381615624922631"/>
    <x v="2"/>
    <x v="4"/>
    <n v="24"/>
    <n v="589"/>
    <n v="22"/>
    <s v="33.808636513209095"/>
    <s v="Pass"/>
    <s v="4.843456577118041"/>
    <x v="1"/>
    <s v="Route B"/>
    <s v="465.45700596368795"/>
  </r>
  <r>
    <x v="2"/>
    <x v="85"/>
    <s v="76.96299441519388"/>
    <n v="83"/>
    <n v="25"/>
    <s v="8684.613059253858"/>
    <x v="1"/>
    <n v="15"/>
    <n v="18"/>
    <n v="66"/>
    <n v="2"/>
    <s v="Carrier C"/>
    <s v="8.249168704871728"/>
    <x v="2"/>
    <x v="4"/>
    <n v="4"/>
    <n v="211"/>
    <n v="2"/>
    <s v="69.9293455186723"/>
    <s v="Fail"/>
    <s v="1.3744289997457582"/>
    <x v="0"/>
    <s v="Route B"/>
    <s v="842.6868300046415"/>
  </r>
  <r>
    <x v="1"/>
    <x v="86"/>
    <s v="19.99817694040422"/>
    <n v="18"/>
    <n v="223"/>
    <s v="1229.5910285649834"/>
    <x v="2"/>
    <n v="32"/>
    <n v="14"/>
    <n v="22"/>
    <n v="6"/>
    <s v="Carrier B"/>
    <s v="1.4543053101535515"/>
    <x v="1"/>
    <x v="0"/>
    <n v="4"/>
    <n v="569"/>
    <n v="18"/>
    <s v="74.60896999519468"/>
    <s v="Pass"/>
    <s v="2.0515129307662465"/>
    <x v="2"/>
    <s v="Route A"/>
    <s v="264.2548898358665"/>
  </r>
  <r>
    <x v="0"/>
    <x v="87"/>
    <s v="80.41403665035574"/>
    <n v="24"/>
    <n v="79"/>
    <s v="5133.846701086692"/>
    <x v="3"/>
    <n v="5"/>
    <n v="7"/>
    <n v="55"/>
    <n v="10"/>
    <s v="Carrier A"/>
    <s v="6.575803797548535"/>
    <x v="0"/>
    <x v="4"/>
    <n v="27"/>
    <n v="523"/>
    <n v="17"/>
    <s v="28.69699682414317"/>
    <s v="Fail"/>
    <s v="3.6937377878392756"/>
    <x v="3"/>
    <s v="Route B"/>
    <s v="879.3592177349243"/>
  </r>
  <r>
    <x v="2"/>
    <x v="88"/>
    <s v="75.27040697572501"/>
    <n v="58"/>
    <n v="737"/>
    <s v="9444.74203306298"/>
    <x v="3"/>
    <n v="60"/>
    <n v="18"/>
    <n v="85"/>
    <n v="7"/>
    <s v="Carrier A"/>
    <s v="3.8012531329310777"/>
    <x v="4"/>
    <x v="0"/>
    <n v="21"/>
    <n v="953"/>
    <n v="11"/>
    <s v="68.18491905704117"/>
    <s v="Pending"/>
    <s v="0.722204401882931"/>
    <x v="3"/>
    <s v="Route A"/>
    <s v="103.91624796070495"/>
  </r>
  <r>
    <x v="2"/>
    <x v="89"/>
    <s v="97.76008558193867"/>
    <n v="10"/>
    <n v="134"/>
    <s v="5924.682566853231"/>
    <x v="2"/>
    <n v="90"/>
    <n v="1"/>
    <n v="27"/>
    <n v="8"/>
    <s v="Carrier B"/>
    <s v="9.929816245277259"/>
    <x v="1"/>
    <x v="1"/>
    <n v="23"/>
    <n v="370"/>
    <n v="11"/>
    <s v="46.60387338164447"/>
    <s v="Pending"/>
    <s v="1.9076657339590746"/>
    <x v="2"/>
    <s v="Route B"/>
    <s v="517.4999739290605"/>
  </r>
  <r>
    <x v="1"/>
    <x v="90"/>
    <s v="13.881913501359142"/>
    <n v="56"/>
    <n v="320"/>
    <s v="9592.633570280312"/>
    <x v="0"/>
    <n v="66"/>
    <n v="18"/>
    <n v="96"/>
    <n v="7"/>
    <s v="Carrier B"/>
    <s v="7.674430708112694"/>
    <x v="0"/>
    <x v="3"/>
    <n v="8"/>
    <n v="585"/>
    <n v="8"/>
    <s v="85.67596333579797"/>
    <s v="Pass"/>
    <s v="1.2193822244013885"/>
    <x v="2"/>
    <s v="Route B"/>
    <s v="990.0784725058112"/>
  </r>
  <r>
    <x v="2"/>
    <x v="91"/>
    <s v="62.11196546396179"/>
    <n v="90"/>
    <n v="916"/>
    <s v="1935.206793507599"/>
    <x v="3"/>
    <n v="98"/>
    <n v="22"/>
    <n v="85"/>
    <n v="7"/>
    <s v="Carrier B"/>
    <s v="7.471514084401146"/>
    <x v="3"/>
    <x v="2"/>
    <n v="5"/>
    <n v="207"/>
    <n v="28"/>
    <s v="39.772882502339975"/>
    <s v="Pending"/>
    <s v="0.6260018582093946"/>
    <x v="2"/>
    <s v="Route B"/>
    <s v="996.7783149506238"/>
  </r>
  <r>
    <x v="2"/>
    <x v="92"/>
    <s v="47.71423307582023"/>
    <n v="44"/>
    <n v="276"/>
    <s v="2100.1297546259366"/>
    <x v="3"/>
    <n v="90"/>
    <n v="25"/>
    <n v="10"/>
    <n v="8"/>
    <s v="Carrier B"/>
    <s v="4.469500026123601"/>
    <x v="4"/>
    <x v="0"/>
    <n v="4"/>
    <n v="671"/>
    <n v="29"/>
    <s v="62.612690395614344"/>
    <s v="Pass"/>
    <s v="0.33343182522473924"/>
    <x v="2"/>
    <s v="Route B"/>
    <s v="230.09278253676294"/>
  </r>
  <r>
    <x v="0"/>
    <x v="93"/>
    <s v="69.29083100290549"/>
    <n v="88"/>
    <n v="114"/>
    <s v="4531.4021336919095"/>
    <x v="2"/>
    <n v="63"/>
    <n v="17"/>
    <n v="66"/>
    <n v="1"/>
    <s v="Carrier C"/>
    <s v="7.0064320590043945"/>
    <x v="3"/>
    <x v="4"/>
    <n v="21"/>
    <n v="824"/>
    <n v="20"/>
    <s v="35.633652343343876"/>
    <s v="Fail"/>
    <s v="4.165781795424145"/>
    <x v="1"/>
    <s v="Route A"/>
    <s v="823.5238458881558"/>
  </r>
  <r>
    <x v="2"/>
    <x v="94"/>
    <s v="3.037688724631414"/>
    <n v="97"/>
    <n v="987"/>
    <s v="7888.356546661873"/>
    <x v="2"/>
    <n v="77"/>
    <n v="26"/>
    <n v="72"/>
    <n v="9"/>
    <s v="Carrier B"/>
    <s v="6.942945942032581"/>
    <x v="4"/>
    <x v="2"/>
    <n v="12"/>
    <n v="908"/>
    <n v="14"/>
    <s v="60.38737861486212"/>
    <s v="Pass"/>
    <s v="1.4636074984727798"/>
    <x v="2"/>
    <s v="Route B"/>
    <s v="846.6652569866948"/>
  </r>
  <r>
    <x v="0"/>
    <x v="95"/>
    <s v="77.90392721944775"/>
    <n v="65"/>
    <n v="672"/>
    <s v="7386.363944048664"/>
    <x v="2"/>
    <n v="15"/>
    <n v="14"/>
    <n v="26"/>
    <n v="9"/>
    <s v="Carrier B"/>
    <s v="8.630338869602754"/>
    <x v="3"/>
    <x v="0"/>
    <n v="18"/>
    <n v="450"/>
    <n v="26"/>
    <s v="58.89068576858998"/>
    <s v="Pending"/>
    <s v="1.2108821295850665"/>
    <x v="1"/>
    <s v="Route A"/>
    <s v="778.8642413766479"/>
  </r>
  <r>
    <x v="2"/>
    <x v="96"/>
    <s v="24.42313142037338"/>
    <n v="29"/>
    <n v="324"/>
    <s v="7698.424765632117"/>
    <x v="0"/>
    <n v="67"/>
    <n v="2"/>
    <n v="32"/>
    <n v="3"/>
    <s v="Carrier C"/>
    <s v="5.352878043996809"/>
    <x v="0"/>
    <x v="0"/>
    <n v="28"/>
    <n v="648"/>
    <n v="28"/>
    <s v="17.80375633139127"/>
    <s v="Pending"/>
    <s v="3.872047681482133"/>
    <x v="0"/>
    <s v="Route A"/>
    <s v="188.74214114905698"/>
  </r>
  <r>
    <x v="0"/>
    <x v="97"/>
    <s v="3.526111259143416"/>
    <n v="56"/>
    <n v="62"/>
    <s v="4370.916579984536"/>
    <x v="3"/>
    <n v="46"/>
    <n v="19"/>
    <n v="4"/>
    <n v="9"/>
    <s v="Carrier A"/>
    <s v="7.904845611209675"/>
    <x v="3"/>
    <x v="0"/>
    <n v="10"/>
    <n v="535"/>
    <n v="13"/>
    <s v="65.76515592636746"/>
    <s v="Fail"/>
    <s v="3.376237834717981"/>
    <x v="0"/>
    <s v="Route A"/>
    <s v="540.1324228679678"/>
  </r>
  <r>
    <x v="1"/>
    <x v="98"/>
    <s v="19.7546048668786"/>
    <n v="43"/>
    <n v="913"/>
    <s v="8525.952559683526"/>
    <x v="1"/>
    <n v="53"/>
    <n v="1"/>
    <n v="27"/>
    <n v="7"/>
    <s v="Carrier B"/>
    <s v="1.409801095138073"/>
    <x v="2"/>
    <x v="4"/>
    <n v="28"/>
    <n v="581"/>
    <n v="9"/>
    <s v="5.604690864371781"/>
    <s v="Pending"/>
    <s v="2.908122169351261"/>
    <x v="2"/>
    <s v="Route A"/>
    <s v="882.1988635470415"/>
  </r>
  <r>
    <x v="0"/>
    <x v="99"/>
    <s v="68.51783269927664"/>
    <n v="17"/>
    <n v="627"/>
    <s v="9185.185829181704"/>
    <x v="2"/>
    <n v="55"/>
    <n v="8"/>
    <n v="59"/>
    <n v="6"/>
    <s v="Carrier B"/>
    <s v="1.3110237561206226"/>
    <x v="4"/>
    <x v="4"/>
    <n v="29"/>
    <n v="921"/>
    <n v="2"/>
    <s v="38.07289852062604"/>
    <s v="Fail"/>
    <s v="0.3460272907055034"/>
    <x v="2"/>
    <s v="Route B"/>
    <s v="210.743008964246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44:B59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axis="axisRow" showAll="0" measureFilter="1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"/>
  </rowFields>
  <rowItems count="15">
    <i>
      <x v="1"/>
    </i>
    <i>
      <x v="4"/>
    </i>
    <i>
      <x v="6"/>
    </i>
    <i>
      <x v="29"/>
    </i>
    <i>
      <x v="33"/>
    </i>
    <i>
      <x v="37"/>
    </i>
    <i>
      <x v="38"/>
    </i>
    <i>
      <x v="41"/>
    </i>
    <i>
      <x v="45"/>
    </i>
    <i>
      <x v="57"/>
    </i>
    <i>
      <x v="61"/>
    </i>
    <i>
      <x v="70"/>
    </i>
    <i>
      <x v="75"/>
    </i>
    <i>
      <x v="89"/>
    </i>
    <i t="grand">
      <x/>
    </i>
  </rowItems>
  <colItems count="1">
    <i/>
  </colItems>
  <dataFields count="1">
    <dataField name="Sum of Lead times" fld="8" baseField="0" baseItem="0"/>
  </dataFields>
  <formats count="3">
    <format dxfId="3">
      <pivotArea outline="0" collapsedLevelsAreSubtotals="1" fieldPosition="0"/>
    </format>
    <format dxfId="4">
      <pivotArea outline="0" collapsedLevelsAreSubtotals="1" fieldPosition="0"/>
    </format>
    <format dxfId="5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5">
  <location ref="A35:B41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tock levels" fld="7" baseField="0" baseItem="0"/>
  </dataFields>
  <formats count="3">
    <format dxfId="6">
      <pivotArea outline="0" collapsedLevelsAreSubtotals="1" fieldPosition="0"/>
    </format>
    <format dxfId="7">
      <pivotArea outline="0" collapsedLevelsAreSubtotals="1" fieldPosition="0"/>
    </format>
    <format dxfId="8">
      <pivotArea outline="0" collapsedLevelsAreSubtotals="1" fieldPosition="0"/>
    </format>
  </formats>
  <chartFormats count="1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7:B32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vailability" fld="3" baseField="0" baseItem="0"/>
  </dataFields>
  <formats count="3">
    <format dxfId="9">
      <pivotArea outline="0" collapsedLevelsAreSubtotals="1" fieldPosition="0"/>
    </format>
    <format dxfId="10">
      <pivotArea outline="0" collapsedLevelsAreSubtotals="1" fieldPosition="0"/>
    </format>
    <format dxfId="11">
      <pivotArea outline="0" collapsedLevelsAreSubtotals="1" fieldPosition="0"/>
    </format>
  </format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A18:B24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duction volumes" fld="16" baseField="0" baseItem="0"/>
  </dataFields>
  <formats count="3">
    <format dxfId="12">
      <pivotArea outline="0" collapsedLevelsAreSubtotals="1" fieldPosition="0"/>
    </format>
    <format dxfId="13">
      <pivotArea outline="0" collapsedLevelsAreSubtotals="1" fieldPosition="0"/>
    </format>
    <format dxfId="14">
      <pivotArea outline="0" collapsedLevelsAreSubtotals="1" fieldPosition="0"/>
    </format>
  </format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0:B15" firstHeaderRow="1" firstDataRow="1" firstDataCol="1"/>
  <pivotFields count="24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Order quantities" fld="9" baseField="0" baseItem="0"/>
  </dataFields>
  <formats count="3">
    <format dxfId="15">
      <pivotArea outline="0" collapsedLevelsAreSubtotals="1" fieldPosition="0"/>
    </format>
    <format dxfId="16">
      <pivotArea outline="0" collapsedLevelsAreSubtotals="1" fieldPosition="0"/>
    </format>
    <format dxfId="17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7" firstHeaderRow="1" firstDataRow="1" firstDataCol="1"/>
  <pivotFields count="24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products sold" fld="4" baseField="0" baseItem="0" numFmtId="165"/>
  </dataFields>
  <formats count="3">
    <format dxfId="20">
      <pivotArea outline="0" collapsedLevelsAreSubtotals="1" fieldPosition="0"/>
    </format>
    <format dxfId="19">
      <pivotArea outline="0" collapsedLevelsAreSubtotals="1" fieldPosition="0"/>
    </format>
    <format dxfId="18">
      <pivotArea outline="0" collapsedLevelsAreSubtotals="1" fieldPosition="0"/>
    </format>
  </formats>
  <chartFormats count="1"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supply_chain_data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9"/>
  <sheetViews>
    <sheetView tabSelected="1" workbookViewId="0">
      <selection activeCell="A20" sqref="A20"/>
    </sheetView>
  </sheetViews>
  <sheetFormatPr defaultRowHeight="15" x14ac:dyDescent="0.25"/>
  <cols>
    <col min="1" max="1" width="13.140625" customWidth="1"/>
    <col min="2" max="2" width="30.140625" bestFit="1" customWidth="1"/>
  </cols>
  <sheetData>
    <row r="3" spans="1:2" x14ac:dyDescent="0.25">
      <c r="A3" s="1" t="s">
        <v>754</v>
      </c>
      <c r="B3" t="s">
        <v>761</v>
      </c>
    </row>
    <row r="4" spans="1:2" x14ac:dyDescent="0.25">
      <c r="A4" s="2" t="s">
        <v>99</v>
      </c>
      <c r="B4" s="3">
        <v>11757</v>
      </c>
    </row>
    <row r="5" spans="1:2" x14ac:dyDescent="0.25">
      <c r="A5" s="2" t="s">
        <v>24</v>
      </c>
      <c r="B5" s="3">
        <v>13611</v>
      </c>
    </row>
    <row r="6" spans="1:2" x14ac:dyDescent="0.25">
      <c r="A6" s="2" t="s">
        <v>39</v>
      </c>
      <c r="B6" s="3">
        <v>20731</v>
      </c>
    </row>
    <row r="7" spans="1:2" x14ac:dyDescent="0.25">
      <c r="A7" s="2" t="s">
        <v>755</v>
      </c>
      <c r="B7" s="3">
        <v>46099</v>
      </c>
    </row>
    <row r="10" spans="1:2" x14ac:dyDescent="0.25">
      <c r="A10" s="1" t="s">
        <v>754</v>
      </c>
      <c r="B10" t="s">
        <v>756</v>
      </c>
    </row>
    <row r="11" spans="1:2" x14ac:dyDescent="0.25">
      <c r="A11" s="2" t="s">
        <v>43</v>
      </c>
      <c r="B11" s="3">
        <v>1141</v>
      </c>
    </row>
    <row r="12" spans="1:2" x14ac:dyDescent="0.25">
      <c r="A12" s="2" t="s">
        <v>93</v>
      </c>
      <c r="B12" s="3">
        <v>899</v>
      </c>
    </row>
    <row r="13" spans="1:2" x14ac:dyDescent="0.25">
      <c r="A13" s="2" t="s">
        <v>28</v>
      </c>
      <c r="B13" s="3">
        <v>1292</v>
      </c>
    </row>
    <row r="14" spans="1:2" x14ac:dyDescent="0.25">
      <c r="A14" s="2" t="s">
        <v>52</v>
      </c>
      <c r="B14" s="3">
        <v>1590</v>
      </c>
    </row>
    <row r="15" spans="1:2" x14ac:dyDescent="0.25">
      <c r="A15" s="2" t="s">
        <v>755</v>
      </c>
      <c r="B15" s="3">
        <v>4922</v>
      </c>
    </row>
    <row r="18" spans="1:2" x14ac:dyDescent="0.25">
      <c r="A18" s="1" t="s">
        <v>754</v>
      </c>
      <c r="B18" t="s">
        <v>759</v>
      </c>
    </row>
    <row r="19" spans="1:2" x14ac:dyDescent="0.25">
      <c r="A19" s="2" t="s">
        <v>86</v>
      </c>
      <c r="B19" s="3">
        <v>7827</v>
      </c>
    </row>
    <row r="20" spans="1:2" x14ac:dyDescent="0.25">
      <c r="A20" s="2" t="s">
        <v>119</v>
      </c>
      <c r="B20" s="3">
        <v>11984</v>
      </c>
    </row>
    <row r="21" spans="1:2" x14ac:dyDescent="0.25">
      <c r="A21" s="2" t="s">
        <v>77</v>
      </c>
      <c r="B21" s="3">
        <v>8362</v>
      </c>
    </row>
    <row r="22" spans="1:2" x14ac:dyDescent="0.25">
      <c r="A22" s="2" t="s">
        <v>66</v>
      </c>
      <c r="B22" s="3">
        <v>15451</v>
      </c>
    </row>
    <row r="23" spans="1:2" x14ac:dyDescent="0.25">
      <c r="A23" s="2" t="s">
        <v>32</v>
      </c>
      <c r="B23" s="3">
        <v>13160</v>
      </c>
    </row>
    <row r="24" spans="1:2" x14ac:dyDescent="0.25">
      <c r="A24" s="2" t="s">
        <v>755</v>
      </c>
      <c r="B24" s="3">
        <v>56784</v>
      </c>
    </row>
    <row r="27" spans="1:2" x14ac:dyDescent="0.25">
      <c r="A27" s="1" t="s">
        <v>754</v>
      </c>
      <c r="B27" t="s">
        <v>760</v>
      </c>
    </row>
    <row r="28" spans="1:2" x14ac:dyDescent="0.25">
      <c r="A28" s="2" t="s">
        <v>57</v>
      </c>
      <c r="B28" s="3">
        <v>1251</v>
      </c>
    </row>
    <row r="29" spans="1:2" x14ac:dyDescent="0.25">
      <c r="A29" s="2" t="s">
        <v>70</v>
      </c>
      <c r="B29" s="3">
        <v>1232</v>
      </c>
    </row>
    <row r="30" spans="1:2" x14ac:dyDescent="0.25">
      <c r="A30" s="2" t="s">
        <v>36</v>
      </c>
      <c r="B30" s="3">
        <v>1575</v>
      </c>
    </row>
    <row r="31" spans="1:2" x14ac:dyDescent="0.25">
      <c r="A31" s="2" t="s">
        <v>97</v>
      </c>
      <c r="B31" s="3">
        <v>782</v>
      </c>
    </row>
    <row r="32" spans="1:2" x14ac:dyDescent="0.25">
      <c r="A32" s="2" t="s">
        <v>755</v>
      </c>
      <c r="B32" s="3">
        <v>4840</v>
      </c>
    </row>
    <row r="35" spans="1:2" x14ac:dyDescent="0.25">
      <c r="A35" s="1" t="s">
        <v>754</v>
      </c>
      <c r="B35" t="s">
        <v>757</v>
      </c>
    </row>
    <row r="36" spans="1:2" x14ac:dyDescent="0.25">
      <c r="A36" s="2" t="s">
        <v>54</v>
      </c>
      <c r="B36" s="3">
        <v>1142</v>
      </c>
    </row>
    <row r="37" spans="1:2" x14ac:dyDescent="0.25">
      <c r="A37" s="2" t="s">
        <v>118</v>
      </c>
      <c r="B37" s="3">
        <v>1022</v>
      </c>
    </row>
    <row r="38" spans="1:2" x14ac:dyDescent="0.25">
      <c r="A38" s="2" t="s">
        <v>31</v>
      </c>
      <c r="B38" s="3">
        <v>654</v>
      </c>
    </row>
    <row r="39" spans="1:2" x14ac:dyDescent="0.25">
      <c r="A39" s="2" t="s">
        <v>85</v>
      </c>
      <c r="B39" s="3">
        <v>1061</v>
      </c>
    </row>
    <row r="40" spans="1:2" x14ac:dyDescent="0.25">
      <c r="A40" s="2" t="s">
        <v>65</v>
      </c>
      <c r="B40" s="3">
        <v>898</v>
      </c>
    </row>
    <row r="41" spans="1:2" x14ac:dyDescent="0.25">
      <c r="A41" s="2" t="s">
        <v>755</v>
      </c>
      <c r="B41" s="3">
        <v>4777</v>
      </c>
    </row>
    <row r="44" spans="1:2" x14ac:dyDescent="0.25">
      <c r="A44" s="1" t="s">
        <v>754</v>
      </c>
      <c r="B44" t="s">
        <v>758</v>
      </c>
    </row>
    <row r="45" spans="1:2" x14ac:dyDescent="0.25">
      <c r="A45" s="2" t="s">
        <v>40</v>
      </c>
      <c r="B45" s="3">
        <v>30</v>
      </c>
    </row>
    <row r="46" spans="1:2" x14ac:dyDescent="0.25">
      <c r="A46" s="2" t="s">
        <v>138</v>
      </c>
      <c r="B46" s="3">
        <v>30</v>
      </c>
    </row>
    <row r="47" spans="1:2" x14ac:dyDescent="0.25">
      <c r="A47" s="2" t="s">
        <v>152</v>
      </c>
      <c r="B47" s="3">
        <v>29</v>
      </c>
    </row>
    <row r="48" spans="1:2" x14ac:dyDescent="0.25">
      <c r="A48" s="2" t="s">
        <v>299</v>
      </c>
      <c r="B48" s="3">
        <v>27</v>
      </c>
    </row>
    <row r="49" spans="1:2" x14ac:dyDescent="0.25">
      <c r="A49" s="2" t="s">
        <v>327</v>
      </c>
      <c r="B49" s="3">
        <v>29</v>
      </c>
    </row>
    <row r="50" spans="1:2" x14ac:dyDescent="0.25">
      <c r="A50" s="2" t="s">
        <v>348</v>
      </c>
      <c r="B50" s="3">
        <v>27</v>
      </c>
    </row>
    <row r="51" spans="1:2" x14ac:dyDescent="0.25">
      <c r="A51" s="2" t="s">
        <v>355</v>
      </c>
      <c r="B51" s="3">
        <v>29</v>
      </c>
    </row>
    <row r="52" spans="1:2" x14ac:dyDescent="0.25">
      <c r="A52" s="2" t="s">
        <v>376</v>
      </c>
      <c r="B52" s="3">
        <v>29</v>
      </c>
    </row>
    <row r="53" spans="1:2" x14ac:dyDescent="0.25">
      <c r="A53" s="2" t="s">
        <v>81</v>
      </c>
      <c r="B53" s="3">
        <v>27</v>
      </c>
    </row>
    <row r="54" spans="1:2" x14ac:dyDescent="0.25">
      <c r="A54" s="2" t="s">
        <v>474</v>
      </c>
      <c r="B54" s="3">
        <v>27</v>
      </c>
    </row>
    <row r="55" spans="1:2" x14ac:dyDescent="0.25">
      <c r="A55" s="2" t="s">
        <v>502</v>
      </c>
      <c r="B55" s="3">
        <v>27</v>
      </c>
    </row>
    <row r="56" spans="1:2" x14ac:dyDescent="0.25">
      <c r="A56" s="2" t="s">
        <v>558</v>
      </c>
      <c r="B56" s="3">
        <v>29</v>
      </c>
    </row>
    <row r="57" spans="1:2" x14ac:dyDescent="0.25">
      <c r="A57" s="2" t="s">
        <v>593</v>
      </c>
      <c r="B57" s="3">
        <v>28</v>
      </c>
    </row>
    <row r="58" spans="1:2" x14ac:dyDescent="0.25">
      <c r="A58" s="2" t="s">
        <v>114</v>
      </c>
      <c r="B58" s="3">
        <v>27</v>
      </c>
    </row>
    <row r="59" spans="1:2" x14ac:dyDescent="0.25">
      <c r="A59" s="2" t="s">
        <v>755</v>
      </c>
      <c r="B59" s="3">
        <v>395</v>
      </c>
    </row>
  </sheetData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1"/>
  <sheetViews>
    <sheetView workbookViewId="0">
      <selection activeCell="F3" sqref="F3"/>
    </sheetView>
  </sheetViews>
  <sheetFormatPr defaultRowHeight="15" x14ac:dyDescent="0.25"/>
  <cols>
    <col min="1" max="1" width="14.5703125" bestFit="1" customWidth="1"/>
    <col min="2" max="2" width="6.7109375" bestFit="1" customWidth="1"/>
    <col min="3" max="3" width="18.85546875" bestFit="1" customWidth="1"/>
    <col min="4" max="4" width="13.28515625" bestFit="1" customWidth="1"/>
    <col min="5" max="5" width="25.5703125" bestFit="1" customWidth="1"/>
    <col min="6" max="6" width="21" bestFit="1" customWidth="1"/>
    <col min="7" max="7" width="25.140625" bestFit="1" customWidth="1"/>
    <col min="8" max="8" width="13.7109375" bestFit="1" customWidth="1"/>
    <col min="9" max="9" width="12.85546875" bestFit="1" customWidth="1"/>
    <col min="10" max="10" width="18" bestFit="1" customWidth="1"/>
    <col min="11" max="11" width="16.5703125" bestFit="1" customWidth="1"/>
    <col min="12" max="12" width="18.140625" bestFit="1" customWidth="1"/>
    <col min="13" max="13" width="18.85546875" bestFit="1" customWidth="1"/>
    <col min="14" max="14" width="16.28515625" bestFit="1" customWidth="1"/>
    <col min="15" max="15" width="10.7109375" bestFit="1" customWidth="1"/>
    <col min="16" max="16" width="12" bestFit="1" customWidth="1"/>
    <col min="17" max="17" width="21.28515625" bestFit="1" customWidth="1"/>
    <col min="18" max="18" width="25.42578125" bestFit="1" customWidth="1"/>
    <col min="19" max="19" width="21.28515625" bestFit="1" customWidth="1"/>
    <col min="20" max="20" width="19.140625" bestFit="1" customWidth="1"/>
    <col min="21" max="21" width="19.85546875" bestFit="1" customWidth="1"/>
    <col min="22" max="22" width="23" bestFit="1" customWidth="1"/>
    <col min="23" max="23" width="9.42578125" bestFit="1" customWidth="1"/>
    <col min="24" max="24" width="18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>
        <v>55</v>
      </c>
      <c r="E2">
        <v>802</v>
      </c>
      <c r="F2" t="s">
        <v>27</v>
      </c>
      <c r="G2" t="s">
        <v>28</v>
      </c>
      <c r="H2">
        <v>58</v>
      </c>
      <c r="I2">
        <v>7</v>
      </c>
      <c r="J2">
        <v>96</v>
      </c>
      <c r="K2">
        <v>4</v>
      </c>
      <c r="L2" t="s">
        <v>29</v>
      </c>
      <c r="M2" t="s">
        <v>30</v>
      </c>
      <c r="N2" t="s">
        <v>31</v>
      </c>
      <c r="O2" t="s">
        <v>32</v>
      </c>
      <c r="P2">
        <v>29</v>
      </c>
      <c r="Q2">
        <v>215</v>
      </c>
      <c r="R2">
        <v>29</v>
      </c>
      <c r="S2" t="s">
        <v>33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25">
      <c r="A3" t="s">
        <v>39</v>
      </c>
      <c r="B3" t="s">
        <v>40</v>
      </c>
      <c r="C3" t="s">
        <v>41</v>
      </c>
      <c r="D3">
        <v>95</v>
      </c>
      <c r="E3">
        <v>736</v>
      </c>
      <c r="F3" t="s">
        <v>42</v>
      </c>
      <c r="G3" t="s">
        <v>43</v>
      </c>
      <c r="H3">
        <v>53</v>
      </c>
      <c r="I3">
        <v>30</v>
      </c>
      <c r="J3">
        <v>37</v>
      </c>
      <c r="K3">
        <v>2</v>
      </c>
      <c r="L3" t="s">
        <v>44</v>
      </c>
      <c r="M3" t="s">
        <v>45</v>
      </c>
      <c r="N3" t="s">
        <v>31</v>
      </c>
      <c r="O3" t="s">
        <v>32</v>
      </c>
      <c r="P3">
        <v>23</v>
      </c>
      <c r="Q3">
        <v>517</v>
      </c>
      <c r="R3">
        <v>30</v>
      </c>
      <c r="S3" t="s">
        <v>46</v>
      </c>
      <c r="T3" t="s">
        <v>34</v>
      </c>
      <c r="U3" t="s">
        <v>47</v>
      </c>
      <c r="V3" t="s">
        <v>36</v>
      </c>
      <c r="W3" t="s">
        <v>37</v>
      </c>
      <c r="X3" t="s">
        <v>48</v>
      </c>
    </row>
    <row r="4" spans="1:24" x14ac:dyDescent="0.25">
      <c r="A4" t="s">
        <v>24</v>
      </c>
      <c r="B4" t="s">
        <v>49</v>
      </c>
      <c r="C4" t="s">
        <v>50</v>
      </c>
      <c r="D4">
        <v>34</v>
      </c>
      <c r="E4">
        <v>8</v>
      </c>
      <c r="F4" t="s">
        <v>51</v>
      </c>
      <c r="G4" t="s">
        <v>52</v>
      </c>
      <c r="H4">
        <v>1</v>
      </c>
      <c r="I4">
        <v>10</v>
      </c>
      <c r="J4">
        <v>88</v>
      </c>
      <c r="K4">
        <v>2</v>
      </c>
      <c r="L4" t="s">
        <v>29</v>
      </c>
      <c r="M4" t="s">
        <v>53</v>
      </c>
      <c r="N4" t="s">
        <v>54</v>
      </c>
      <c r="O4" t="s">
        <v>32</v>
      </c>
      <c r="P4">
        <v>12</v>
      </c>
      <c r="Q4">
        <v>971</v>
      </c>
      <c r="R4">
        <v>27</v>
      </c>
      <c r="S4" t="s">
        <v>55</v>
      </c>
      <c r="T4" t="s">
        <v>34</v>
      </c>
      <c r="U4" t="s">
        <v>56</v>
      </c>
      <c r="V4" t="s">
        <v>57</v>
      </c>
      <c r="W4" t="s">
        <v>58</v>
      </c>
      <c r="X4" t="s">
        <v>59</v>
      </c>
    </row>
    <row r="5" spans="1:24" x14ac:dyDescent="0.25">
      <c r="A5" t="s">
        <v>39</v>
      </c>
      <c r="B5" t="s">
        <v>60</v>
      </c>
      <c r="C5" t="s">
        <v>61</v>
      </c>
      <c r="D5">
        <v>68</v>
      </c>
      <c r="E5">
        <v>83</v>
      </c>
      <c r="F5" t="s">
        <v>62</v>
      </c>
      <c r="G5" t="s">
        <v>28</v>
      </c>
      <c r="H5">
        <v>23</v>
      </c>
      <c r="I5">
        <v>13</v>
      </c>
      <c r="J5">
        <v>59</v>
      </c>
      <c r="K5">
        <v>6</v>
      </c>
      <c r="L5" t="s">
        <v>63</v>
      </c>
      <c r="M5" t="s">
        <v>64</v>
      </c>
      <c r="N5" t="s">
        <v>65</v>
      </c>
      <c r="O5" t="s">
        <v>66</v>
      </c>
      <c r="P5">
        <v>24</v>
      </c>
      <c r="Q5">
        <v>937</v>
      </c>
      <c r="R5">
        <v>18</v>
      </c>
      <c r="S5" t="s">
        <v>67</v>
      </c>
      <c r="T5" t="s">
        <v>68</v>
      </c>
      <c r="U5" t="s">
        <v>69</v>
      </c>
      <c r="V5" t="s">
        <v>70</v>
      </c>
      <c r="W5" t="s">
        <v>71</v>
      </c>
      <c r="X5" t="s">
        <v>72</v>
      </c>
    </row>
    <row r="6" spans="1:24" x14ac:dyDescent="0.25">
      <c r="A6" t="s">
        <v>39</v>
      </c>
      <c r="B6" t="s">
        <v>73</v>
      </c>
      <c r="C6" t="s">
        <v>74</v>
      </c>
      <c r="D6">
        <v>26</v>
      </c>
      <c r="E6">
        <v>871</v>
      </c>
      <c r="F6" t="s">
        <v>75</v>
      </c>
      <c r="G6" t="s">
        <v>28</v>
      </c>
      <c r="H6">
        <v>5</v>
      </c>
      <c r="I6">
        <v>3</v>
      </c>
      <c r="J6">
        <v>56</v>
      </c>
      <c r="K6">
        <v>8</v>
      </c>
      <c r="L6" t="s">
        <v>44</v>
      </c>
      <c r="M6" t="s">
        <v>76</v>
      </c>
      <c r="N6" t="s">
        <v>54</v>
      </c>
      <c r="O6" t="s">
        <v>77</v>
      </c>
      <c r="P6">
        <v>5</v>
      </c>
      <c r="Q6">
        <v>414</v>
      </c>
      <c r="R6">
        <v>3</v>
      </c>
      <c r="S6" t="s">
        <v>78</v>
      </c>
      <c r="T6" t="s">
        <v>68</v>
      </c>
      <c r="U6" t="s">
        <v>79</v>
      </c>
      <c r="V6" t="s">
        <v>57</v>
      </c>
      <c r="W6" t="s">
        <v>71</v>
      </c>
      <c r="X6" t="s">
        <v>80</v>
      </c>
    </row>
    <row r="7" spans="1:24" x14ac:dyDescent="0.25">
      <c r="A7" t="s">
        <v>24</v>
      </c>
      <c r="B7" t="s">
        <v>81</v>
      </c>
      <c r="C7" t="s">
        <v>82</v>
      </c>
      <c r="D7">
        <v>87</v>
      </c>
      <c r="E7">
        <v>147</v>
      </c>
      <c r="F7" t="s">
        <v>83</v>
      </c>
      <c r="G7" t="s">
        <v>28</v>
      </c>
      <c r="H7">
        <v>90</v>
      </c>
      <c r="I7">
        <v>27</v>
      </c>
      <c r="J7">
        <v>66</v>
      </c>
      <c r="K7">
        <v>3</v>
      </c>
      <c r="L7" t="s">
        <v>29</v>
      </c>
      <c r="M7" t="s">
        <v>84</v>
      </c>
      <c r="N7" t="s">
        <v>85</v>
      </c>
      <c r="O7" t="s">
        <v>86</v>
      </c>
      <c r="P7">
        <v>10</v>
      </c>
      <c r="Q7">
        <v>104</v>
      </c>
      <c r="R7">
        <v>17</v>
      </c>
      <c r="S7" t="s">
        <v>87</v>
      </c>
      <c r="T7" t="s">
        <v>68</v>
      </c>
      <c r="U7" t="s">
        <v>88</v>
      </c>
      <c r="V7" t="s">
        <v>36</v>
      </c>
      <c r="W7" t="s">
        <v>71</v>
      </c>
      <c r="X7" t="s">
        <v>89</v>
      </c>
    </row>
    <row r="8" spans="1:24" x14ac:dyDescent="0.25">
      <c r="A8" t="s">
        <v>39</v>
      </c>
      <c r="B8" t="s">
        <v>90</v>
      </c>
      <c r="C8" t="s">
        <v>91</v>
      </c>
      <c r="D8">
        <v>48</v>
      </c>
      <c r="E8">
        <v>65</v>
      </c>
      <c r="F8" t="s">
        <v>92</v>
      </c>
      <c r="G8" t="s">
        <v>93</v>
      </c>
      <c r="H8">
        <v>11</v>
      </c>
      <c r="I8">
        <v>15</v>
      </c>
      <c r="J8">
        <v>58</v>
      </c>
      <c r="K8">
        <v>8</v>
      </c>
      <c r="L8" t="s">
        <v>63</v>
      </c>
      <c r="M8" t="s">
        <v>94</v>
      </c>
      <c r="N8" t="s">
        <v>31</v>
      </c>
      <c r="O8" t="s">
        <v>66</v>
      </c>
      <c r="P8">
        <v>14</v>
      </c>
      <c r="Q8">
        <v>314</v>
      </c>
      <c r="R8">
        <v>24</v>
      </c>
      <c r="S8" t="s">
        <v>95</v>
      </c>
      <c r="T8" t="s">
        <v>34</v>
      </c>
      <c r="U8" t="s">
        <v>96</v>
      </c>
      <c r="V8" t="s">
        <v>97</v>
      </c>
      <c r="W8" t="s">
        <v>71</v>
      </c>
      <c r="X8" t="s">
        <v>98</v>
      </c>
    </row>
    <row r="9" spans="1:24" x14ac:dyDescent="0.25">
      <c r="A9" t="s">
        <v>99</v>
      </c>
      <c r="B9" t="s">
        <v>100</v>
      </c>
      <c r="C9" t="s">
        <v>101</v>
      </c>
      <c r="D9">
        <v>59</v>
      </c>
      <c r="E9">
        <v>426</v>
      </c>
      <c r="F9" t="s">
        <v>102</v>
      </c>
      <c r="G9" t="s">
        <v>43</v>
      </c>
      <c r="H9">
        <v>93</v>
      </c>
      <c r="I9">
        <v>17</v>
      </c>
      <c r="J9">
        <v>11</v>
      </c>
      <c r="K9">
        <v>1</v>
      </c>
      <c r="L9" t="s">
        <v>29</v>
      </c>
      <c r="M9" t="s">
        <v>103</v>
      </c>
      <c r="N9" t="s">
        <v>85</v>
      </c>
      <c r="O9" t="s">
        <v>86</v>
      </c>
      <c r="P9">
        <v>22</v>
      </c>
      <c r="Q9">
        <v>564</v>
      </c>
      <c r="R9">
        <v>1</v>
      </c>
      <c r="S9" t="s">
        <v>104</v>
      </c>
      <c r="T9" t="s">
        <v>68</v>
      </c>
      <c r="U9" t="s">
        <v>105</v>
      </c>
      <c r="V9" t="s">
        <v>36</v>
      </c>
      <c r="W9" t="s">
        <v>58</v>
      </c>
      <c r="X9" t="s">
        <v>106</v>
      </c>
    </row>
    <row r="10" spans="1:24" x14ac:dyDescent="0.25">
      <c r="A10" t="s">
        <v>99</v>
      </c>
      <c r="B10" t="s">
        <v>107</v>
      </c>
      <c r="C10" t="s">
        <v>108</v>
      </c>
      <c r="D10">
        <v>78</v>
      </c>
      <c r="E10">
        <v>150</v>
      </c>
      <c r="F10" t="s">
        <v>109</v>
      </c>
      <c r="G10" t="s">
        <v>43</v>
      </c>
      <c r="H10">
        <v>5</v>
      </c>
      <c r="I10">
        <v>10</v>
      </c>
      <c r="J10">
        <v>15</v>
      </c>
      <c r="K10">
        <v>7</v>
      </c>
      <c r="L10" t="s">
        <v>63</v>
      </c>
      <c r="M10" t="s">
        <v>110</v>
      </c>
      <c r="N10" t="s">
        <v>85</v>
      </c>
      <c r="O10" t="s">
        <v>32</v>
      </c>
      <c r="P10">
        <v>13</v>
      </c>
      <c r="Q10">
        <v>769</v>
      </c>
      <c r="R10">
        <v>8</v>
      </c>
      <c r="S10" t="s">
        <v>111</v>
      </c>
      <c r="T10" t="s">
        <v>34</v>
      </c>
      <c r="U10" t="s">
        <v>112</v>
      </c>
      <c r="V10" t="s">
        <v>97</v>
      </c>
      <c r="W10" t="s">
        <v>37</v>
      </c>
      <c r="X10" t="s">
        <v>113</v>
      </c>
    </row>
    <row r="11" spans="1:24" x14ac:dyDescent="0.25">
      <c r="A11" t="s">
        <v>39</v>
      </c>
      <c r="B11" t="s">
        <v>114</v>
      </c>
      <c r="C11" t="s">
        <v>115</v>
      </c>
      <c r="D11">
        <v>35</v>
      </c>
      <c r="E11">
        <v>980</v>
      </c>
      <c r="F11" t="s">
        <v>116</v>
      </c>
      <c r="G11" t="s">
        <v>52</v>
      </c>
      <c r="H11">
        <v>14</v>
      </c>
      <c r="I11">
        <v>27</v>
      </c>
      <c r="J11">
        <v>83</v>
      </c>
      <c r="K11">
        <v>1</v>
      </c>
      <c r="L11" t="s">
        <v>44</v>
      </c>
      <c r="M11" t="s">
        <v>117</v>
      </c>
      <c r="N11" t="s">
        <v>118</v>
      </c>
      <c r="O11" t="s">
        <v>119</v>
      </c>
      <c r="P11">
        <v>29</v>
      </c>
      <c r="Q11">
        <v>963</v>
      </c>
      <c r="R11">
        <v>23</v>
      </c>
      <c r="S11" t="s">
        <v>120</v>
      </c>
      <c r="T11" t="s">
        <v>34</v>
      </c>
      <c r="U11" t="s">
        <v>121</v>
      </c>
      <c r="V11" t="s">
        <v>70</v>
      </c>
      <c r="W11" t="s">
        <v>37</v>
      </c>
      <c r="X11" t="s">
        <v>122</v>
      </c>
    </row>
    <row r="12" spans="1:24" x14ac:dyDescent="0.25">
      <c r="A12" t="s">
        <v>39</v>
      </c>
      <c r="B12" t="s">
        <v>123</v>
      </c>
      <c r="C12" t="s">
        <v>124</v>
      </c>
      <c r="D12">
        <v>11</v>
      </c>
      <c r="E12">
        <v>996</v>
      </c>
      <c r="F12" t="s">
        <v>125</v>
      </c>
      <c r="G12" t="s">
        <v>28</v>
      </c>
      <c r="H12">
        <v>51</v>
      </c>
      <c r="I12">
        <v>13</v>
      </c>
      <c r="J12">
        <v>80</v>
      </c>
      <c r="K12">
        <v>2</v>
      </c>
      <c r="L12" t="s">
        <v>63</v>
      </c>
      <c r="M12" t="s">
        <v>126</v>
      </c>
      <c r="N12" t="s">
        <v>65</v>
      </c>
      <c r="O12" t="s">
        <v>66</v>
      </c>
      <c r="P12">
        <v>18</v>
      </c>
      <c r="Q12">
        <v>830</v>
      </c>
      <c r="R12">
        <v>5</v>
      </c>
      <c r="S12" t="s">
        <v>127</v>
      </c>
      <c r="T12" t="s">
        <v>128</v>
      </c>
      <c r="U12" t="s">
        <v>129</v>
      </c>
      <c r="V12" t="s">
        <v>36</v>
      </c>
      <c r="W12" t="s">
        <v>37</v>
      </c>
      <c r="X12" t="s">
        <v>130</v>
      </c>
    </row>
    <row r="13" spans="1:24" x14ac:dyDescent="0.25">
      <c r="A13" t="s">
        <v>39</v>
      </c>
      <c r="B13" t="s">
        <v>131</v>
      </c>
      <c r="C13" t="s">
        <v>132</v>
      </c>
      <c r="D13">
        <v>95</v>
      </c>
      <c r="E13">
        <v>960</v>
      </c>
      <c r="F13" t="s">
        <v>133</v>
      </c>
      <c r="G13" t="s">
        <v>43</v>
      </c>
      <c r="H13">
        <v>46</v>
      </c>
      <c r="I13">
        <v>23</v>
      </c>
      <c r="J13">
        <v>60</v>
      </c>
      <c r="K13">
        <v>1</v>
      </c>
      <c r="L13" t="s">
        <v>44</v>
      </c>
      <c r="M13" t="s">
        <v>134</v>
      </c>
      <c r="N13" t="s">
        <v>118</v>
      </c>
      <c r="O13" t="s">
        <v>66</v>
      </c>
      <c r="P13">
        <v>28</v>
      </c>
      <c r="Q13">
        <v>362</v>
      </c>
      <c r="R13">
        <v>11</v>
      </c>
      <c r="S13" t="s">
        <v>135</v>
      </c>
      <c r="T13" t="s">
        <v>34</v>
      </c>
      <c r="U13" t="s">
        <v>136</v>
      </c>
      <c r="V13" t="s">
        <v>57</v>
      </c>
      <c r="W13" t="s">
        <v>71</v>
      </c>
      <c r="X13" t="s">
        <v>137</v>
      </c>
    </row>
    <row r="14" spans="1:24" x14ac:dyDescent="0.25">
      <c r="A14" t="s">
        <v>24</v>
      </c>
      <c r="B14" t="s">
        <v>138</v>
      </c>
      <c r="C14" t="s">
        <v>139</v>
      </c>
      <c r="D14">
        <v>41</v>
      </c>
      <c r="E14">
        <v>336</v>
      </c>
      <c r="F14" t="s">
        <v>140</v>
      </c>
      <c r="G14" t="s">
        <v>52</v>
      </c>
      <c r="H14">
        <v>100</v>
      </c>
      <c r="I14">
        <v>30</v>
      </c>
      <c r="J14">
        <v>85</v>
      </c>
      <c r="K14">
        <v>4</v>
      </c>
      <c r="L14" t="s">
        <v>44</v>
      </c>
      <c r="M14" t="s">
        <v>141</v>
      </c>
      <c r="N14" t="s">
        <v>85</v>
      </c>
      <c r="O14" t="s">
        <v>66</v>
      </c>
      <c r="P14">
        <v>3</v>
      </c>
      <c r="Q14">
        <v>563</v>
      </c>
      <c r="R14">
        <v>3</v>
      </c>
      <c r="S14" t="s">
        <v>142</v>
      </c>
      <c r="T14" t="s">
        <v>68</v>
      </c>
      <c r="U14" t="s">
        <v>143</v>
      </c>
      <c r="V14" t="s">
        <v>36</v>
      </c>
      <c r="W14" t="s">
        <v>37</v>
      </c>
      <c r="X14" t="s">
        <v>144</v>
      </c>
    </row>
    <row r="15" spans="1:24" x14ac:dyDescent="0.25">
      <c r="A15" t="s">
        <v>39</v>
      </c>
      <c r="B15" t="s">
        <v>145</v>
      </c>
      <c r="C15" t="s">
        <v>146</v>
      </c>
      <c r="D15">
        <v>5</v>
      </c>
      <c r="E15">
        <v>249</v>
      </c>
      <c r="F15" t="s">
        <v>147</v>
      </c>
      <c r="G15" t="s">
        <v>93</v>
      </c>
      <c r="H15">
        <v>80</v>
      </c>
      <c r="I15">
        <v>8</v>
      </c>
      <c r="J15">
        <v>48</v>
      </c>
      <c r="K15">
        <v>9</v>
      </c>
      <c r="L15" t="s">
        <v>44</v>
      </c>
      <c r="M15" t="s">
        <v>148</v>
      </c>
      <c r="N15" t="s">
        <v>65</v>
      </c>
      <c r="O15" t="s">
        <v>86</v>
      </c>
      <c r="P15">
        <v>23</v>
      </c>
      <c r="Q15">
        <v>173</v>
      </c>
      <c r="R15">
        <v>10</v>
      </c>
      <c r="S15" t="s">
        <v>149</v>
      </c>
      <c r="T15" t="s">
        <v>34</v>
      </c>
      <c r="U15" t="s">
        <v>150</v>
      </c>
      <c r="V15" t="s">
        <v>36</v>
      </c>
      <c r="W15" t="s">
        <v>37</v>
      </c>
      <c r="X15" t="s">
        <v>151</v>
      </c>
    </row>
    <row r="16" spans="1:24" x14ac:dyDescent="0.25">
      <c r="A16" t="s">
        <v>39</v>
      </c>
      <c r="B16" t="s">
        <v>152</v>
      </c>
      <c r="C16" t="s">
        <v>153</v>
      </c>
      <c r="D16">
        <v>26</v>
      </c>
      <c r="E16">
        <v>562</v>
      </c>
      <c r="F16" t="s">
        <v>154</v>
      </c>
      <c r="G16" t="s">
        <v>28</v>
      </c>
      <c r="H16">
        <v>54</v>
      </c>
      <c r="I16">
        <v>29</v>
      </c>
      <c r="J16">
        <v>78</v>
      </c>
      <c r="K16">
        <v>5</v>
      </c>
      <c r="L16" t="s">
        <v>29</v>
      </c>
      <c r="M16" t="s">
        <v>155</v>
      </c>
      <c r="N16" t="s">
        <v>54</v>
      </c>
      <c r="O16" t="s">
        <v>66</v>
      </c>
      <c r="P16">
        <v>25</v>
      </c>
      <c r="Q16">
        <v>558</v>
      </c>
      <c r="R16">
        <v>14</v>
      </c>
      <c r="S16" t="s">
        <v>156</v>
      </c>
      <c r="T16" t="s">
        <v>34</v>
      </c>
      <c r="U16" t="s">
        <v>157</v>
      </c>
      <c r="V16" t="s">
        <v>57</v>
      </c>
      <c r="W16" t="s">
        <v>37</v>
      </c>
      <c r="X16" t="s">
        <v>158</v>
      </c>
    </row>
    <row r="17" spans="1:24" x14ac:dyDescent="0.25">
      <c r="A17" t="s">
        <v>39</v>
      </c>
      <c r="B17" t="s">
        <v>159</v>
      </c>
      <c r="C17" t="s">
        <v>160</v>
      </c>
      <c r="D17">
        <v>94</v>
      </c>
      <c r="E17">
        <v>469</v>
      </c>
      <c r="F17" t="s">
        <v>161</v>
      </c>
      <c r="G17" t="s">
        <v>28</v>
      </c>
      <c r="H17">
        <v>9</v>
      </c>
      <c r="I17">
        <v>8</v>
      </c>
      <c r="J17">
        <v>69</v>
      </c>
      <c r="K17">
        <v>7</v>
      </c>
      <c r="L17" t="s">
        <v>29</v>
      </c>
      <c r="M17" t="s">
        <v>162</v>
      </c>
      <c r="N17" t="s">
        <v>54</v>
      </c>
      <c r="O17" t="s">
        <v>86</v>
      </c>
      <c r="P17">
        <v>14</v>
      </c>
      <c r="Q17">
        <v>580</v>
      </c>
      <c r="R17">
        <v>7</v>
      </c>
      <c r="S17" t="s">
        <v>163</v>
      </c>
      <c r="T17" t="s">
        <v>128</v>
      </c>
      <c r="U17" t="s">
        <v>164</v>
      </c>
      <c r="V17" t="s">
        <v>97</v>
      </c>
      <c r="W17" t="s">
        <v>37</v>
      </c>
      <c r="X17" t="s">
        <v>165</v>
      </c>
    </row>
    <row r="18" spans="1:24" x14ac:dyDescent="0.25">
      <c r="A18" t="s">
        <v>39</v>
      </c>
      <c r="B18" t="s">
        <v>166</v>
      </c>
      <c r="C18" t="s">
        <v>167</v>
      </c>
      <c r="D18">
        <v>74</v>
      </c>
      <c r="E18">
        <v>280</v>
      </c>
      <c r="F18" t="s">
        <v>168</v>
      </c>
      <c r="G18" t="s">
        <v>43</v>
      </c>
      <c r="H18">
        <v>2</v>
      </c>
      <c r="I18">
        <v>5</v>
      </c>
      <c r="J18">
        <v>78</v>
      </c>
      <c r="K18">
        <v>1</v>
      </c>
      <c r="L18" t="s">
        <v>29</v>
      </c>
      <c r="M18" t="s">
        <v>169</v>
      </c>
      <c r="N18" t="s">
        <v>54</v>
      </c>
      <c r="O18" t="s">
        <v>86</v>
      </c>
      <c r="P18">
        <v>3</v>
      </c>
      <c r="Q18">
        <v>399</v>
      </c>
      <c r="R18">
        <v>21</v>
      </c>
      <c r="S18" t="s">
        <v>170</v>
      </c>
      <c r="T18" t="s">
        <v>128</v>
      </c>
      <c r="U18" t="s">
        <v>171</v>
      </c>
      <c r="V18" t="s">
        <v>57</v>
      </c>
      <c r="W18" t="s">
        <v>71</v>
      </c>
      <c r="X18" t="s">
        <v>172</v>
      </c>
    </row>
    <row r="19" spans="1:24" x14ac:dyDescent="0.25">
      <c r="A19" t="s">
        <v>99</v>
      </c>
      <c r="B19" t="s">
        <v>173</v>
      </c>
      <c r="C19" t="s">
        <v>174</v>
      </c>
      <c r="D19">
        <v>82</v>
      </c>
      <c r="E19">
        <v>126</v>
      </c>
      <c r="F19" t="s">
        <v>175</v>
      </c>
      <c r="G19" t="s">
        <v>43</v>
      </c>
      <c r="H19">
        <v>45</v>
      </c>
      <c r="I19">
        <v>17</v>
      </c>
      <c r="J19">
        <v>85</v>
      </c>
      <c r="K19">
        <v>9</v>
      </c>
      <c r="L19" t="s">
        <v>63</v>
      </c>
      <c r="M19" t="s">
        <v>176</v>
      </c>
      <c r="N19" t="s">
        <v>54</v>
      </c>
      <c r="O19" t="s">
        <v>119</v>
      </c>
      <c r="P19">
        <v>7</v>
      </c>
      <c r="Q19">
        <v>453</v>
      </c>
      <c r="R19">
        <v>16</v>
      </c>
      <c r="S19" t="s">
        <v>177</v>
      </c>
      <c r="T19" t="s">
        <v>68</v>
      </c>
      <c r="U19" t="s">
        <v>178</v>
      </c>
      <c r="V19" t="s">
        <v>57</v>
      </c>
      <c r="W19" t="s">
        <v>58</v>
      </c>
      <c r="X19" t="s">
        <v>179</v>
      </c>
    </row>
    <row r="20" spans="1:24" x14ac:dyDescent="0.25">
      <c r="A20" t="s">
        <v>24</v>
      </c>
      <c r="B20" t="s">
        <v>180</v>
      </c>
      <c r="C20" t="s">
        <v>181</v>
      </c>
      <c r="D20">
        <v>23</v>
      </c>
      <c r="E20">
        <v>620</v>
      </c>
      <c r="F20" t="s">
        <v>182</v>
      </c>
      <c r="G20" t="s">
        <v>52</v>
      </c>
      <c r="H20">
        <v>10</v>
      </c>
      <c r="I20">
        <v>10</v>
      </c>
      <c r="J20">
        <v>46</v>
      </c>
      <c r="K20">
        <v>8</v>
      </c>
      <c r="L20" t="s">
        <v>63</v>
      </c>
      <c r="M20" t="s">
        <v>183</v>
      </c>
      <c r="N20" t="s">
        <v>118</v>
      </c>
      <c r="O20" t="s">
        <v>66</v>
      </c>
      <c r="P20">
        <v>18</v>
      </c>
      <c r="Q20">
        <v>374</v>
      </c>
      <c r="R20">
        <v>17</v>
      </c>
      <c r="S20" t="s">
        <v>184</v>
      </c>
      <c r="T20" t="s">
        <v>34</v>
      </c>
      <c r="U20" t="s">
        <v>185</v>
      </c>
      <c r="V20" t="s">
        <v>97</v>
      </c>
      <c r="W20" t="s">
        <v>71</v>
      </c>
      <c r="X20" t="s">
        <v>186</v>
      </c>
    </row>
    <row r="21" spans="1:24" x14ac:dyDescent="0.25">
      <c r="A21" t="s">
        <v>39</v>
      </c>
      <c r="B21" t="s">
        <v>187</v>
      </c>
      <c r="C21" t="s">
        <v>188</v>
      </c>
      <c r="D21">
        <v>100</v>
      </c>
      <c r="E21">
        <v>187</v>
      </c>
      <c r="F21" t="s">
        <v>189</v>
      </c>
      <c r="G21" t="s">
        <v>52</v>
      </c>
      <c r="H21">
        <v>48</v>
      </c>
      <c r="I21">
        <v>11</v>
      </c>
      <c r="J21">
        <v>94</v>
      </c>
      <c r="K21">
        <v>3</v>
      </c>
      <c r="L21" t="s">
        <v>44</v>
      </c>
      <c r="M21" t="s">
        <v>190</v>
      </c>
      <c r="N21" t="s">
        <v>85</v>
      </c>
      <c r="O21" t="s">
        <v>119</v>
      </c>
      <c r="P21">
        <v>20</v>
      </c>
      <c r="Q21">
        <v>694</v>
      </c>
      <c r="R21">
        <v>16</v>
      </c>
      <c r="S21" t="s">
        <v>191</v>
      </c>
      <c r="T21" t="s">
        <v>68</v>
      </c>
      <c r="U21" t="s">
        <v>192</v>
      </c>
      <c r="V21" t="s">
        <v>36</v>
      </c>
      <c r="W21" t="s">
        <v>58</v>
      </c>
      <c r="X21" t="s">
        <v>193</v>
      </c>
    </row>
    <row r="22" spans="1:24" x14ac:dyDescent="0.25">
      <c r="A22" t="s">
        <v>39</v>
      </c>
      <c r="B22" t="s">
        <v>194</v>
      </c>
      <c r="C22" t="s">
        <v>195</v>
      </c>
      <c r="D22">
        <v>22</v>
      </c>
      <c r="E22">
        <v>320</v>
      </c>
      <c r="F22" t="s">
        <v>196</v>
      </c>
      <c r="G22" t="s">
        <v>52</v>
      </c>
      <c r="H22">
        <v>27</v>
      </c>
      <c r="I22">
        <v>12</v>
      </c>
      <c r="J22">
        <v>68</v>
      </c>
      <c r="K22">
        <v>6</v>
      </c>
      <c r="L22" t="s">
        <v>44</v>
      </c>
      <c r="M22" t="s">
        <v>197</v>
      </c>
      <c r="N22" t="s">
        <v>54</v>
      </c>
      <c r="O22" t="s">
        <v>119</v>
      </c>
      <c r="P22">
        <v>29</v>
      </c>
      <c r="Q22">
        <v>309</v>
      </c>
      <c r="R22">
        <v>6</v>
      </c>
      <c r="S22" t="s">
        <v>198</v>
      </c>
      <c r="T22" t="s">
        <v>128</v>
      </c>
      <c r="U22" t="s">
        <v>199</v>
      </c>
      <c r="V22" t="s">
        <v>57</v>
      </c>
      <c r="W22" t="s">
        <v>37</v>
      </c>
      <c r="X22" t="s">
        <v>200</v>
      </c>
    </row>
    <row r="23" spans="1:24" x14ac:dyDescent="0.25">
      <c r="A23" t="s">
        <v>99</v>
      </c>
      <c r="B23" t="s">
        <v>201</v>
      </c>
      <c r="C23" t="s">
        <v>202</v>
      </c>
      <c r="D23">
        <v>60</v>
      </c>
      <c r="E23">
        <v>601</v>
      </c>
      <c r="F23" t="s">
        <v>203</v>
      </c>
      <c r="G23" t="s">
        <v>52</v>
      </c>
      <c r="H23">
        <v>69</v>
      </c>
      <c r="I23">
        <v>25</v>
      </c>
      <c r="J23">
        <v>7</v>
      </c>
      <c r="K23">
        <v>6</v>
      </c>
      <c r="L23" t="s">
        <v>29</v>
      </c>
      <c r="M23" t="s">
        <v>204</v>
      </c>
      <c r="N23" t="s">
        <v>65</v>
      </c>
      <c r="O23" t="s">
        <v>119</v>
      </c>
      <c r="P23">
        <v>19</v>
      </c>
      <c r="Q23">
        <v>791</v>
      </c>
      <c r="R23">
        <v>4</v>
      </c>
      <c r="S23" t="s">
        <v>205</v>
      </c>
      <c r="T23" t="s">
        <v>34</v>
      </c>
      <c r="U23" t="s">
        <v>206</v>
      </c>
      <c r="V23" t="s">
        <v>57</v>
      </c>
      <c r="W23" t="s">
        <v>58</v>
      </c>
      <c r="X23" t="s">
        <v>207</v>
      </c>
    </row>
    <row r="24" spans="1:24" x14ac:dyDescent="0.25">
      <c r="A24" t="s">
        <v>24</v>
      </c>
      <c r="B24" t="s">
        <v>208</v>
      </c>
      <c r="C24" t="s">
        <v>209</v>
      </c>
      <c r="D24">
        <v>55</v>
      </c>
      <c r="E24">
        <v>884</v>
      </c>
      <c r="F24" t="s">
        <v>210</v>
      </c>
      <c r="G24" t="s">
        <v>52</v>
      </c>
      <c r="H24">
        <v>71</v>
      </c>
      <c r="I24">
        <v>1</v>
      </c>
      <c r="J24">
        <v>63</v>
      </c>
      <c r="K24">
        <v>10</v>
      </c>
      <c r="L24" t="s">
        <v>44</v>
      </c>
      <c r="M24" t="s">
        <v>211</v>
      </c>
      <c r="N24" t="s">
        <v>85</v>
      </c>
      <c r="O24" t="s">
        <v>66</v>
      </c>
      <c r="P24">
        <v>22</v>
      </c>
      <c r="Q24">
        <v>780</v>
      </c>
      <c r="R24">
        <v>28</v>
      </c>
      <c r="S24" t="s">
        <v>212</v>
      </c>
      <c r="T24" t="s">
        <v>68</v>
      </c>
      <c r="U24" t="s">
        <v>213</v>
      </c>
      <c r="V24" t="s">
        <v>70</v>
      </c>
      <c r="W24" t="s">
        <v>58</v>
      </c>
      <c r="X24" t="s">
        <v>214</v>
      </c>
    </row>
    <row r="25" spans="1:24" x14ac:dyDescent="0.25">
      <c r="A25" t="s">
        <v>99</v>
      </c>
      <c r="B25" t="s">
        <v>215</v>
      </c>
      <c r="C25" t="s">
        <v>216</v>
      </c>
      <c r="D25">
        <v>30</v>
      </c>
      <c r="E25">
        <v>391</v>
      </c>
      <c r="F25" t="s">
        <v>217</v>
      </c>
      <c r="G25" t="s">
        <v>52</v>
      </c>
      <c r="H25">
        <v>84</v>
      </c>
      <c r="I25">
        <v>5</v>
      </c>
      <c r="J25">
        <v>29</v>
      </c>
      <c r="K25">
        <v>7</v>
      </c>
      <c r="L25" t="s">
        <v>44</v>
      </c>
      <c r="M25" t="s">
        <v>218</v>
      </c>
      <c r="N25" t="s">
        <v>65</v>
      </c>
      <c r="O25" t="s">
        <v>66</v>
      </c>
      <c r="P25">
        <v>11</v>
      </c>
      <c r="Q25">
        <v>568</v>
      </c>
      <c r="R25">
        <v>29</v>
      </c>
      <c r="S25" t="s">
        <v>219</v>
      </c>
      <c r="T25" t="s">
        <v>34</v>
      </c>
      <c r="U25" t="s">
        <v>220</v>
      </c>
      <c r="V25" t="s">
        <v>70</v>
      </c>
      <c r="W25" t="s">
        <v>71</v>
      </c>
      <c r="X25" t="s">
        <v>221</v>
      </c>
    </row>
    <row r="26" spans="1:24" x14ac:dyDescent="0.25">
      <c r="A26" t="s">
        <v>24</v>
      </c>
      <c r="B26" t="s">
        <v>222</v>
      </c>
      <c r="C26" t="s">
        <v>223</v>
      </c>
      <c r="D26">
        <v>32</v>
      </c>
      <c r="E26">
        <v>209</v>
      </c>
      <c r="F26" t="s">
        <v>224</v>
      </c>
      <c r="G26" t="s">
        <v>93</v>
      </c>
      <c r="H26">
        <v>4</v>
      </c>
      <c r="I26">
        <v>26</v>
      </c>
      <c r="J26">
        <v>2</v>
      </c>
      <c r="K26">
        <v>8</v>
      </c>
      <c r="L26" t="s">
        <v>63</v>
      </c>
      <c r="M26" t="s">
        <v>225</v>
      </c>
      <c r="N26" t="s">
        <v>118</v>
      </c>
      <c r="O26" t="s">
        <v>86</v>
      </c>
      <c r="P26">
        <v>28</v>
      </c>
      <c r="Q26">
        <v>447</v>
      </c>
      <c r="R26">
        <v>3</v>
      </c>
      <c r="S26" t="s">
        <v>226</v>
      </c>
      <c r="T26" t="s">
        <v>34</v>
      </c>
      <c r="U26" t="s">
        <v>227</v>
      </c>
      <c r="V26" t="s">
        <v>57</v>
      </c>
      <c r="W26" t="s">
        <v>71</v>
      </c>
      <c r="X26" t="s">
        <v>228</v>
      </c>
    </row>
    <row r="27" spans="1:24" x14ac:dyDescent="0.25">
      <c r="A27" t="s">
        <v>24</v>
      </c>
      <c r="B27" t="s">
        <v>229</v>
      </c>
      <c r="C27" t="s">
        <v>230</v>
      </c>
      <c r="D27">
        <v>73</v>
      </c>
      <c r="E27">
        <v>142</v>
      </c>
      <c r="F27" t="s">
        <v>231</v>
      </c>
      <c r="G27" t="s">
        <v>93</v>
      </c>
      <c r="H27">
        <v>82</v>
      </c>
      <c r="I27">
        <v>11</v>
      </c>
      <c r="J27">
        <v>52</v>
      </c>
      <c r="K27">
        <v>3</v>
      </c>
      <c r="L27" t="s">
        <v>63</v>
      </c>
      <c r="M27" t="s">
        <v>232</v>
      </c>
      <c r="N27" t="s">
        <v>85</v>
      </c>
      <c r="O27" t="s">
        <v>66</v>
      </c>
      <c r="P27">
        <v>19</v>
      </c>
      <c r="Q27">
        <v>934</v>
      </c>
      <c r="R27">
        <v>23</v>
      </c>
      <c r="S27" t="s">
        <v>233</v>
      </c>
      <c r="T27" t="s">
        <v>34</v>
      </c>
      <c r="U27" t="s">
        <v>234</v>
      </c>
      <c r="V27" t="s">
        <v>36</v>
      </c>
      <c r="W27" t="s">
        <v>37</v>
      </c>
      <c r="X27" t="s">
        <v>235</v>
      </c>
    </row>
    <row r="28" spans="1:24" x14ac:dyDescent="0.25">
      <c r="A28" t="s">
        <v>24</v>
      </c>
      <c r="B28" t="s">
        <v>236</v>
      </c>
      <c r="C28" t="s">
        <v>237</v>
      </c>
      <c r="D28">
        <v>9</v>
      </c>
      <c r="E28">
        <v>353</v>
      </c>
      <c r="F28" t="s">
        <v>238</v>
      </c>
      <c r="G28" t="s">
        <v>93</v>
      </c>
      <c r="H28">
        <v>59</v>
      </c>
      <c r="I28">
        <v>16</v>
      </c>
      <c r="J28">
        <v>48</v>
      </c>
      <c r="K28">
        <v>4</v>
      </c>
      <c r="L28" t="s">
        <v>29</v>
      </c>
      <c r="M28" t="s">
        <v>239</v>
      </c>
      <c r="N28" t="s">
        <v>118</v>
      </c>
      <c r="O28" t="s">
        <v>86</v>
      </c>
      <c r="P28">
        <v>26</v>
      </c>
      <c r="Q28">
        <v>171</v>
      </c>
      <c r="R28">
        <v>4</v>
      </c>
      <c r="S28" t="s">
        <v>240</v>
      </c>
      <c r="T28" t="s">
        <v>128</v>
      </c>
      <c r="U28" t="s">
        <v>241</v>
      </c>
      <c r="V28" t="s">
        <v>70</v>
      </c>
      <c r="W28" t="s">
        <v>71</v>
      </c>
      <c r="X28" t="s">
        <v>242</v>
      </c>
    </row>
    <row r="29" spans="1:24" x14ac:dyDescent="0.25">
      <c r="A29" t="s">
        <v>99</v>
      </c>
      <c r="B29" t="s">
        <v>243</v>
      </c>
      <c r="C29" t="s">
        <v>244</v>
      </c>
      <c r="D29">
        <v>42</v>
      </c>
      <c r="E29">
        <v>352</v>
      </c>
      <c r="F29" t="s">
        <v>245</v>
      </c>
      <c r="G29" t="s">
        <v>52</v>
      </c>
      <c r="H29">
        <v>47</v>
      </c>
      <c r="I29">
        <v>9</v>
      </c>
      <c r="J29">
        <v>62</v>
      </c>
      <c r="K29">
        <v>8</v>
      </c>
      <c r="L29" t="s">
        <v>63</v>
      </c>
      <c r="M29" t="s">
        <v>246</v>
      </c>
      <c r="N29" t="s">
        <v>65</v>
      </c>
      <c r="O29" t="s">
        <v>32</v>
      </c>
      <c r="P29">
        <v>25</v>
      </c>
      <c r="Q29">
        <v>291</v>
      </c>
      <c r="R29">
        <v>4</v>
      </c>
      <c r="S29" t="s">
        <v>247</v>
      </c>
      <c r="T29" t="s">
        <v>68</v>
      </c>
      <c r="U29" t="s">
        <v>248</v>
      </c>
      <c r="V29" t="s">
        <v>97</v>
      </c>
      <c r="W29" t="s">
        <v>37</v>
      </c>
      <c r="X29" t="s">
        <v>249</v>
      </c>
    </row>
    <row r="30" spans="1:24" x14ac:dyDescent="0.25">
      <c r="A30" t="s">
        <v>99</v>
      </c>
      <c r="B30" t="s">
        <v>250</v>
      </c>
      <c r="C30" t="s">
        <v>251</v>
      </c>
      <c r="D30">
        <v>12</v>
      </c>
      <c r="E30">
        <v>394</v>
      </c>
      <c r="F30" t="s">
        <v>252</v>
      </c>
      <c r="G30" t="s">
        <v>43</v>
      </c>
      <c r="H30">
        <v>48</v>
      </c>
      <c r="I30">
        <v>15</v>
      </c>
      <c r="J30">
        <v>24</v>
      </c>
      <c r="K30">
        <v>4</v>
      </c>
      <c r="L30" t="s">
        <v>29</v>
      </c>
      <c r="M30" t="s">
        <v>253</v>
      </c>
      <c r="N30" t="s">
        <v>54</v>
      </c>
      <c r="O30" t="s">
        <v>32</v>
      </c>
      <c r="P30">
        <v>13</v>
      </c>
      <c r="Q30">
        <v>171</v>
      </c>
      <c r="R30">
        <v>7</v>
      </c>
      <c r="S30" t="s">
        <v>254</v>
      </c>
      <c r="T30" t="s">
        <v>68</v>
      </c>
      <c r="U30" t="s">
        <v>255</v>
      </c>
      <c r="V30" t="s">
        <v>57</v>
      </c>
      <c r="W30" t="s">
        <v>71</v>
      </c>
      <c r="X30" t="s">
        <v>256</v>
      </c>
    </row>
    <row r="31" spans="1:24" x14ac:dyDescent="0.25">
      <c r="A31" t="s">
        <v>99</v>
      </c>
      <c r="B31" t="s">
        <v>257</v>
      </c>
      <c r="C31" t="s">
        <v>258</v>
      </c>
      <c r="D31">
        <v>3</v>
      </c>
      <c r="E31">
        <v>253</v>
      </c>
      <c r="F31" t="s">
        <v>259</v>
      </c>
      <c r="G31" t="s">
        <v>43</v>
      </c>
      <c r="H31">
        <v>45</v>
      </c>
      <c r="I31">
        <v>5</v>
      </c>
      <c r="J31">
        <v>67</v>
      </c>
      <c r="K31">
        <v>7</v>
      </c>
      <c r="L31" t="s">
        <v>29</v>
      </c>
      <c r="M31" t="s">
        <v>260</v>
      </c>
      <c r="N31" t="s">
        <v>54</v>
      </c>
      <c r="O31" t="s">
        <v>66</v>
      </c>
      <c r="P31">
        <v>16</v>
      </c>
      <c r="Q31">
        <v>329</v>
      </c>
      <c r="R31">
        <v>7</v>
      </c>
      <c r="S31" t="s">
        <v>261</v>
      </c>
      <c r="T31" t="s">
        <v>128</v>
      </c>
      <c r="U31" t="s">
        <v>262</v>
      </c>
      <c r="V31" t="s">
        <v>36</v>
      </c>
      <c r="W31" t="s">
        <v>37</v>
      </c>
      <c r="X31" t="s">
        <v>263</v>
      </c>
    </row>
    <row r="32" spans="1:24" x14ac:dyDescent="0.25">
      <c r="A32" t="s">
        <v>24</v>
      </c>
      <c r="B32" t="s">
        <v>264</v>
      </c>
      <c r="C32" t="s">
        <v>265</v>
      </c>
      <c r="D32">
        <v>10</v>
      </c>
      <c r="E32">
        <v>327</v>
      </c>
      <c r="F32" t="s">
        <v>266</v>
      </c>
      <c r="G32" t="s">
        <v>93</v>
      </c>
      <c r="H32">
        <v>60</v>
      </c>
      <c r="I32">
        <v>26</v>
      </c>
      <c r="J32">
        <v>35</v>
      </c>
      <c r="K32">
        <v>7</v>
      </c>
      <c r="L32" t="s">
        <v>29</v>
      </c>
      <c r="M32" t="s">
        <v>267</v>
      </c>
      <c r="N32" t="s">
        <v>85</v>
      </c>
      <c r="O32" t="s">
        <v>66</v>
      </c>
      <c r="P32">
        <v>27</v>
      </c>
      <c r="Q32">
        <v>806</v>
      </c>
      <c r="R32">
        <v>30</v>
      </c>
      <c r="S32" t="s">
        <v>268</v>
      </c>
      <c r="T32" t="s">
        <v>34</v>
      </c>
      <c r="U32" t="s">
        <v>269</v>
      </c>
      <c r="V32" t="s">
        <v>36</v>
      </c>
      <c r="W32" t="s">
        <v>58</v>
      </c>
      <c r="X32" t="s">
        <v>270</v>
      </c>
    </row>
    <row r="33" spans="1:24" x14ac:dyDescent="0.25">
      <c r="A33" t="s">
        <v>39</v>
      </c>
      <c r="B33" t="s">
        <v>271</v>
      </c>
      <c r="C33" t="s">
        <v>272</v>
      </c>
      <c r="D33">
        <v>28</v>
      </c>
      <c r="E33">
        <v>168</v>
      </c>
      <c r="F33" t="s">
        <v>273</v>
      </c>
      <c r="G33" t="s">
        <v>93</v>
      </c>
      <c r="H33">
        <v>6</v>
      </c>
      <c r="I33">
        <v>17</v>
      </c>
      <c r="J33">
        <v>44</v>
      </c>
      <c r="K33">
        <v>4</v>
      </c>
      <c r="L33" t="s">
        <v>29</v>
      </c>
      <c r="M33" t="s">
        <v>274</v>
      </c>
      <c r="N33" t="s">
        <v>31</v>
      </c>
      <c r="O33" t="s">
        <v>119</v>
      </c>
      <c r="P33">
        <v>24</v>
      </c>
      <c r="Q33">
        <v>461</v>
      </c>
      <c r="R33">
        <v>8</v>
      </c>
      <c r="S33" t="s">
        <v>275</v>
      </c>
      <c r="T33" t="s">
        <v>34</v>
      </c>
      <c r="U33" t="s">
        <v>276</v>
      </c>
      <c r="V33" t="s">
        <v>70</v>
      </c>
      <c r="W33" t="s">
        <v>58</v>
      </c>
      <c r="X33" t="s">
        <v>277</v>
      </c>
    </row>
    <row r="34" spans="1:24" x14ac:dyDescent="0.25">
      <c r="A34" t="s">
        <v>39</v>
      </c>
      <c r="B34" t="s">
        <v>278</v>
      </c>
      <c r="C34" t="s">
        <v>279</v>
      </c>
      <c r="D34">
        <v>43</v>
      </c>
      <c r="E34">
        <v>781</v>
      </c>
      <c r="F34" t="s">
        <v>280</v>
      </c>
      <c r="G34" t="s">
        <v>52</v>
      </c>
      <c r="H34">
        <v>89</v>
      </c>
      <c r="I34">
        <v>13</v>
      </c>
      <c r="J34">
        <v>64</v>
      </c>
      <c r="K34">
        <v>4</v>
      </c>
      <c r="L34" t="s">
        <v>63</v>
      </c>
      <c r="M34" t="s">
        <v>281</v>
      </c>
      <c r="N34" t="s">
        <v>31</v>
      </c>
      <c r="O34" t="s">
        <v>66</v>
      </c>
      <c r="P34">
        <v>30</v>
      </c>
      <c r="Q34">
        <v>737</v>
      </c>
      <c r="R34">
        <v>7</v>
      </c>
      <c r="S34" t="s">
        <v>282</v>
      </c>
      <c r="T34" t="s">
        <v>128</v>
      </c>
      <c r="U34" t="s">
        <v>283</v>
      </c>
      <c r="V34" t="s">
        <v>36</v>
      </c>
      <c r="W34" t="s">
        <v>71</v>
      </c>
      <c r="X34" t="s">
        <v>284</v>
      </c>
    </row>
    <row r="35" spans="1:24" x14ac:dyDescent="0.25">
      <c r="A35" t="s">
        <v>99</v>
      </c>
      <c r="B35" t="s">
        <v>285</v>
      </c>
      <c r="C35" t="s">
        <v>286</v>
      </c>
      <c r="D35">
        <v>63</v>
      </c>
      <c r="E35">
        <v>616</v>
      </c>
      <c r="F35" t="s">
        <v>287</v>
      </c>
      <c r="G35" t="s">
        <v>28</v>
      </c>
      <c r="H35">
        <v>4</v>
      </c>
      <c r="I35">
        <v>17</v>
      </c>
      <c r="J35">
        <v>95</v>
      </c>
      <c r="K35">
        <v>9</v>
      </c>
      <c r="L35" t="s">
        <v>63</v>
      </c>
      <c r="M35" t="s">
        <v>288</v>
      </c>
      <c r="N35" t="s">
        <v>65</v>
      </c>
      <c r="O35" t="s">
        <v>119</v>
      </c>
      <c r="P35">
        <v>1</v>
      </c>
      <c r="Q35">
        <v>251</v>
      </c>
      <c r="R35">
        <v>23</v>
      </c>
      <c r="S35" t="s">
        <v>289</v>
      </c>
      <c r="T35" t="s">
        <v>68</v>
      </c>
      <c r="U35" t="s">
        <v>290</v>
      </c>
      <c r="V35" t="s">
        <v>97</v>
      </c>
      <c r="W35" t="s">
        <v>71</v>
      </c>
      <c r="X35" t="s">
        <v>291</v>
      </c>
    </row>
    <row r="36" spans="1:24" x14ac:dyDescent="0.25">
      <c r="A36" t="s">
        <v>39</v>
      </c>
      <c r="B36" t="s">
        <v>292</v>
      </c>
      <c r="C36" t="s">
        <v>293</v>
      </c>
      <c r="D36">
        <v>96</v>
      </c>
      <c r="E36">
        <v>602</v>
      </c>
      <c r="F36" t="s">
        <v>294</v>
      </c>
      <c r="G36" t="s">
        <v>52</v>
      </c>
      <c r="H36">
        <v>1</v>
      </c>
      <c r="I36">
        <v>26</v>
      </c>
      <c r="J36">
        <v>21</v>
      </c>
      <c r="K36">
        <v>7</v>
      </c>
      <c r="L36" t="s">
        <v>44</v>
      </c>
      <c r="M36" t="s">
        <v>295</v>
      </c>
      <c r="N36" t="s">
        <v>54</v>
      </c>
      <c r="O36" t="s">
        <v>119</v>
      </c>
      <c r="P36">
        <v>4</v>
      </c>
      <c r="Q36">
        <v>452</v>
      </c>
      <c r="R36">
        <v>10</v>
      </c>
      <c r="S36" t="s">
        <v>296</v>
      </c>
      <c r="T36" t="s">
        <v>128</v>
      </c>
      <c r="U36" t="s">
        <v>297</v>
      </c>
      <c r="V36" t="s">
        <v>36</v>
      </c>
      <c r="W36" t="s">
        <v>37</v>
      </c>
      <c r="X36" t="s">
        <v>298</v>
      </c>
    </row>
    <row r="37" spans="1:24" x14ac:dyDescent="0.25">
      <c r="A37" t="s">
        <v>99</v>
      </c>
      <c r="B37" t="s">
        <v>299</v>
      </c>
      <c r="C37" t="s">
        <v>300</v>
      </c>
      <c r="D37">
        <v>11</v>
      </c>
      <c r="E37">
        <v>449</v>
      </c>
      <c r="F37" t="s">
        <v>301</v>
      </c>
      <c r="G37" t="s">
        <v>43</v>
      </c>
      <c r="H37">
        <v>42</v>
      </c>
      <c r="I37">
        <v>27</v>
      </c>
      <c r="J37">
        <v>85</v>
      </c>
      <c r="K37">
        <v>8</v>
      </c>
      <c r="L37" t="s">
        <v>63</v>
      </c>
      <c r="M37" t="s">
        <v>302</v>
      </c>
      <c r="N37" t="s">
        <v>54</v>
      </c>
      <c r="O37" t="s">
        <v>77</v>
      </c>
      <c r="P37">
        <v>3</v>
      </c>
      <c r="Q37">
        <v>367</v>
      </c>
      <c r="R37">
        <v>2</v>
      </c>
      <c r="S37" t="s">
        <v>303</v>
      </c>
      <c r="T37" t="s">
        <v>128</v>
      </c>
      <c r="U37" t="s">
        <v>304</v>
      </c>
      <c r="V37" t="s">
        <v>97</v>
      </c>
      <c r="W37" t="s">
        <v>58</v>
      </c>
      <c r="X37" t="s">
        <v>305</v>
      </c>
    </row>
    <row r="38" spans="1:24" x14ac:dyDescent="0.25">
      <c r="A38" t="s">
        <v>39</v>
      </c>
      <c r="B38" t="s">
        <v>306</v>
      </c>
      <c r="C38" t="s">
        <v>307</v>
      </c>
      <c r="D38">
        <v>34</v>
      </c>
      <c r="E38">
        <v>963</v>
      </c>
      <c r="F38" t="s">
        <v>308</v>
      </c>
      <c r="G38" t="s">
        <v>43</v>
      </c>
      <c r="H38">
        <v>18</v>
      </c>
      <c r="I38">
        <v>23</v>
      </c>
      <c r="J38">
        <v>28</v>
      </c>
      <c r="K38">
        <v>3</v>
      </c>
      <c r="L38" t="s">
        <v>29</v>
      </c>
      <c r="M38" t="s">
        <v>309</v>
      </c>
      <c r="N38" t="s">
        <v>118</v>
      </c>
      <c r="O38" t="s">
        <v>77</v>
      </c>
      <c r="P38">
        <v>26</v>
      </c>
      <c r="Q38">
        <v>671</v>
      </c>
      <c r="R38">
        <v>19</v>
      </c>
      <c r="S38" t="s">
        <v>310</v>
      </c>
      <c r="T38" t="s">
        <v>68</v>
      </c>
      <c r="U38" t="s">
        <v>311</v>
      </c>
      <c r="V38" t="s">
        <v>57</v>
      </c>
      <c r="W38" t="s">
        <v>58</v>
      </c>
      <c r="X38" t="s">
        <v>312</v>
      </c>
    </row>
    <row r="39" spans="1:24" x14ac:dyDescent="0.25">
      <c r="A39" t="s">
        <v>39</v>
      </c>
      <c r="B39" t="s">
        <v>313</v>
      </c>
      <c r="C39" t="s">
        <v>314</v>
      </c>
      <c r="D39">
        <v>5</v>
      </c>
      <c r="E39">
        <v>963</v>
      </c>
      <c r="F39" t="s">
        <v>315</v>
      </c>
      <c r="G39" t="s">
        <v>43</v>
      </c>
      <c r="H39">
        <v>25</v>
      </c>
      <c r="I39">
        <v>8</v>
      </c>
      <c r="J39">
        <v>21</v>
      </c>
      <c r="K39">
        <v>9</v>
      </c>
      <c r="L39" t="s">
        <v>44</v>
      </c>
      <c r="M39" t="s">
        <v>316</v>
      </c>
      <c r="N39" t="s">
        <v>31</v>
      </c>
      <c r="O39" t="s">
        <v>66</v>
      </c>
      <c r="P39">
        <v>24</v>
      </c>
      <c r="Q39">
        <v>867</v>
      </c>
      <c r="R39">
        <v>15</v>
      </c>
      <c r="S39" t="s">
        <v>317</v>
      </c>
      <c r="T39" t="s">
        <v>34</v>
      </c>
      <c r="U39" t="s">
        <v>318</v>
      </c>
      <c r="V39" t="s">
        <v>97</v>
      </c>
      <c r="W39" t="s">
        <v>71</v>
      </c>
      <c r="X39" t="s">
        <v>319</v>
      </c>
    </row>
    <row r="40" spans="1:24" x14ac:dyDescent="0.25">
      <c r="A40" t="s">
        <v>99</v>
      </c>
      <c r="B40" t="s">
        <v>320</v>
      </c>
      <c r="C40" t="s">
        <v>321</v>
      </c>
      <c r="D40">
        <v>75</v>
      </c>
      <c r="E40">
        <v>705</v>
      </c>
      <c r="F40" t="s">
        <v>322</v>
      </c>
      <c r="G40" t="s">
        <v>28</v>
      </c>
      <c r="H40">
        <v>69</v>
      </c>
      <c r="I40">
        <v>1</v>
      </c>
      <c r="J40">
        <v>88</v>
      </c>
      <c r="K40">
        <v>5</v>
      </c>
      <c r="L40" t="s">
        <v>29</v>
      </c>
      <c r="M40" t="s">
        <v>323</v>
      </c>
      <c r="N40" t="s">
        <v>65</v>
      </c>
      <c r="O40" t="s">
        <v>32</v>
      </c>
      <c r="P40">
        <v>10</v>
      </c>
      <c r="Q40">
        <v>841</v>
      </c>
      <c r="R40">
        <v>12</v>
      </c>
      <c r="S40" t="s">
        <v>324</v>
      </c>
      <c r="T40" t="s">
        <v>34</v>
      </c>
      <c r="U40" t="s">
        <v>325</v>
      </c>
      <c r="V40" t="s">
        <v>57</v>
      </c>
      <c r="W40" t="s">
        <v>37</v>
      </c>
      <c r="X40" t="s">
        <v>326</v>
      </c>
    </row>
    <row r="41" spans="1:24" x14ac:dyDescent="0.25">
      <c r="A41" t="s">
        <v>39</v>
      </c>
      <c r="B41" t="s">
        <v>327</v>
      </c>
      <c r="C41" t="s">
        <v>328</v>
      </c>
      <c r="D41">
        <v>26</v>
      </c>
      <c r="E41">
        <v>176</v>
      </c>
      <c r="F41" t="s">
        <v>329</v>
      </c>
      <c r="G41" t="s">
        <v>43</v>
      </c>
      <c r="H41">
        <v>78</v>
      </c>
      <c r="I41">
        <v>29</v>
      </c>
      <c r="J41">
        <v>34</v>
      </c>
      <c r="K41">
        <v>3</v>
      </c>
      <c r="L41" t="s">
        <v>44</v>
      </c>
      <c r="M41" t="s">
        <v>330</v>
      </c>
      <c r="N41" t="s">
        <v>118</v>
      </c>
      <c r="O41" t="s">
        <v>66</v>
      </c>
      <c r="P41">
        <v>30</v>
      </c>
      <c r="Q41">
        <v>791</v>
      </c>
      <c r="R41">
        <v>6</v>
      </c>
      <c r="S41" t="s">
        <v>331</v>
      </c>
      <c r="T41" t="s">
        <v>68</v>
      </c>
      <c r="U41" t="s">
        <v>332</v>
      </c>
      <c r="V41" t="s">
        <v>57</v>
      </c>
      <c r="W41" t="s">
        <v>37</v>
      </c>
      <c r="X41" t="s">
        <v>333</v>
      </c>
    </row>
    <row r="42" spans="1:24" x14ac:dyDescent="0.25">
      <c r="A42" t="s">
        <v>39</v>
      </c>
      <c r="B42" t="s">
        <v>334</v>
      </c>
      <c r="C42" t="s">
        <v>335</v>
      </c>
      <c r="D42">
        <v>97</v>
      </c>
      <c r="E42">
        <v>933</v>
      </c>
      <c r="F42" t="s">
        <v>336</v>
      </c>
      <c r="G42" t="s">
        <v>43</v>
      </c>
      <c r="H42">
        <v>90</v>
      </c>
      <c r="I42">
        <v>20</v>
      </c>
      <c r="J42">
        <v>39</v>
      </c>
      <c r="K42">
        <v>8</v>
      </c>
      <c r="L42" t="s">
        <v>63</v>
      </c>
      <c r="M42" t="s">
        <v>337</v>
      </c>
      <c r="N42" t="s">
        <v>54</v>
      </c>
      <c r="O42" t="s">
        <v>66</v>
      </c>
      <c r="P42">
        <v>18</v>
      </c>
      <c r="Q42">
        <v>793</v>
      </c>
      <c r="R42">
        <v>1</v>
      </c>
      <c r="S42" t="s">
        <v>338</v>
      </c>
      <c r="T42" t="s">
        <v>34</v>
      </c>
      <c r="U42" t="s">
        <v>339</v>
      </c>
      <c r="V42" t="s">
        <v>36</v>
      </c>
      <c r="W42" t="s">
        <v>71</v>
      </c>
      <c r="X42" t="s">
        <v>340</v>
      </c>
    </row>
    <row r="43" spans="1:24" x14ac:dyDescent="0.25">
      <c r="A43" t="s">
        <v>39</v>
      </c>
      <c r="B43" t="s">
        <v>341</v>
      </c>
      <c r="C43" t="s">
        <v>342</v>
      </c>
      <c r="D43">
        <v>35</v>
      </c>
      <c r="E43">
        <v>556</v>
      </c>
      <c r="F43" t="s">
        <v>343</v>
      </c>
      <c r="G43" t="s">
        <v>43</v>
      </c>
      <c r="H43">
        <v>64</v>
      </c>
      <c r="I43">
        <v>19</v>
      </c>
      <c r="J43">
        <v>38</v>
      </c>
      <c r="K43">
        <v>8</v>
      </c>
      <c r="L43" t="s">
        <v>29</v>
      </c>
      <c r="M43" t="s">
        <v>344</v>
      </c>
      <c r="N43" t="s">
        <v>85</v>
      </c>
      <c r="O43" t="s">
        <v>119</v>
      </c>
      <c r="P43">
        <v>18</v>
      </c>
      <c r="Q43">
        <v>892</v>
      </c>
      <c r="R43">
        <v>7</v>
      </c>
      <c r="S43" t="s">
        <v>345</v>
      </c>
      <c r="T43" t="s">
        <v>68</v>
      </c>
      <c r="U43" t="s">
        <v>346</v>
      </c>
      <c r="V43" t="s">
        <v>97</v>
      </c>
      <c r="W43" t="s">
        <v>71</v>
      </c>
      <c r="X43" t="s">
        <v>347</v>
      </c>
    </row>
    <row r="44" spans="1:24" x14ac:dyDescent="0.25">
      <c r="A44" t="s">
        <v>39</v>
      </c>
      <c r="B44" t="s">
        <v>348</v>
      </c>
      <c r="C44" t="s">
        <v>349</v>
      </c>
      <c r="D44">
        <v>98</v>
      </c>
      <c r="E44">
        <v>155</v>
      </c>
      <c r="F44" t="s">
        <v>350</v>
      </c>
      <c r="G44" t="s">
        <v>43</v>
      </c>
      <c r="H44">
        <v>22</v>
      </c>
      <c r="I44">
        <v>27</v>
      </c>
      <c r="J44">
        <v>57</v>
      </c>
      <c r="K44">
        <v>4</v>
      </c>
      <c r="L44" t="s">
        <v>63</v>
      </c>
      <c r="M44" t="s">
        <v>351</v>
      </c>
      <c r="N44" t="s">
        <v>65</v>
      </c>
      <c r="O44" t="s">
        <v>86</v>
      </c>
      <c r="P44">
        <v>26</v>
      </c>
      <c r="Q44">
        <v>179</v>
      </c>
      <c r="R44">
        <v>7</v>
      </c>
      <c r="S44" t="s">
        <v>352</v>
      </c>
      <c r="T44" t="s">
        <v>68</v>
      </c>
      <c r="U44" t="s">
        <v>353</v>
      </c>
      <c r="V44" t="s">
        <v>36</v>
      </c>
      <c r="W44" t="s">
        <v>71</v>
      </c>
      <c r="X44" t="s">
        <v>354</v>
      </c>
    </row>
    <row r="45" spans="1:24" x14ac:dyDescent="0.25">
      <c r="A45" t="s">
        <v>24</v>
      </c>
      <c r="B45" t="s">
        <v>355</v>
      </c>
      <c r="C45" t="s">
        <v>356</v>
      </c>
      <c r="D45">
        <v>6</v>
      </c>
      <c r="E45">
        <v>598</v>
      </c>
      <c r="F45" t="s">
        <v>357</v>
      </c>
      <c r="G45" t="s">
        <v>52</v>
      </c>
      <c r="H45">
        <v>36</v>
      </c>
      <c r="I45">
        <v>29</v>
      </c>
      <c r="J45">
        <v>85</v>
      </c>
      <c r="K45">
        <v>9</v>
      </c>
      <c r="L45" t="s">
        <v>29</v>
      </c>
      <c r="M45" t="s">
        <v>358</v>
      </c>
      <c r="N45" t="s">
        <v>65</v>
      </c>
      <c r="O45" t="s">
        <v>32</v>
      </c>
      <c r="P45">
        <v>1</v>
      </c>
      <c r="Q45">
        <v>206</v>
      </c>
      <c r="R45">
        <v>23</v>
      </c>
      <c r="S45" t="s">
        <v>359</v>
      </c>
      <c r="T45" t="s">
        <v>34</v>
      </c>
      <c r="U45" t="s">
        <v>360</v>
      </c>
      <c r="V45" t="s">
        <v>57</v>
      </c>
      <c r="W45" t="s">
        <v>71</v>
      </c>
      <c r="X45" t="s">
        <v>361</v>
      </c>
    </row>
    <row r="46" spans="1:24" x14ac:dyDescent="0.25">
      <c r="A46" t="s">
        <v>99</v>
      </c>
      <c r="B46" t="s">
        <v>362</v>
      </c>
      <c r="C46" t="s">
        <v>363</v>
      </c>
      <c r="D46">
        <v>34</v>
      </c>
      <c r="E46">
        <v>919</v>
      </c>
      <c r="F46" t="s">
        <v>364</v>
      </c>
      <c r="G46" t="s">
        <v>43</v>
      </c>
      <c r="H46">
        <v>13</v>
      </c>
      <c r="I46">
        <v>19</v>
      </c>
      <c r="J46">
        <v>72</v>
      </c>
      <c r="K46">
        <v>6</v>
      </c>
      <c r="L46" t="s">
        <v>63</v>
      </c>
      <c r="M46" t="s">
        <v>365</v>
      </c>
      <c r="N46" t="s">
        <v>118</v>
      </c>
      <c r="O46" t="s">
        <v>77</v>
      </c>
      <c r="P46">
        <v>7</v>
      </c>
      <c r="Q46">
        <v>834</v>
      </c>
      <c r="R46">
        <v>18</v>
      </c>
      <c r="S46" t="s">
        <v>366</v>
      </c>
      <c r="T46" t="s">
        <v>68</v>
      </c>
      <c r="U46" t="s">
        <v>367</v>
      </c>
      <c r="V46" t="s">
        <v>70</v>
      </c>
      <c r="W46" t="s">
        <v>71</v>
      </c>
      <c r="X46" t="s">
        <v>368</v>
      </c>
    </row>
    <row r="47" spans="1:24" x14ac:dyDescent="0.25">
      <c r="A47" t="s">
        <v>24</v>
      </c>
      <c r="B47" t="s">
        <v>369</v>
      </c>
      <c r="C47" t="s">
        <v>370</v>
      </c>
      <c r="D47">
        <v>1</v>
      </c>
      <c r="E47">
        <v>24</v>
      </c>
      <c r="F47" t="s">
        <v>371</v>
      </c>
      <c r="G47" t="s">
        <v>93</v>
      </c>
      <c r="H47">
        <v>93</v>
      </c>
      <c r="I47">
        <v>7</v>
      </c>
      <c r="J47">
        <v>52</v>
      </c>
      <c r="K47">
        <v>6</v>
      </c>
      <c r="L47" t="s">
        <v>29</v>
      </c>
      <c r="M47" t="s">
        <v>372</v>
      </c>
      <c r="N47" t="s">
        <v>118</v>
      </c>
      <c r="O47" t="s">
        <v>119</v>
      </c>
      <c r="P47">
        <v>25</v>
      </c>
      <c r="Q47">
        <v>794</v>
      </c>
      <c r="R47">
        <v>25</v>
      </c>
      <c r="S47" t="s">
        <v>373</v>
      </c>
      <c r="T47" t="s">
        <v>128</v>
      </c>
      <c r="U47" t="s">
        <v>374</v>
      </c>
      <c r="V47" t="s">
        <v>70</v>
      </c>
      <c r="W47" t="s">
        <v>71</v>
      </c>
      <c r="X47" t="s">
        <v>375</v>
      </c>
    </row>
    <row r="48" spans="1:24" x14ac:dyDescent="0.25">
      <c r="A48" t="s">
        <v>24</v>
      </c>
      <c r="B48" t="s">
        <v>376</v>
      </c>
      <c r="C48" t="s">
        <v>377</v>
      </c>
      <c r="D48">
        <v>75</v>
      </c>
      <c r="E48">
        <v>859</v>
      </c>
      <c r="F48" t="s">
        <v>378</v>
      </c>
      <c r="G48" t="s">
        <v>28</v>
      </c>
      <c r="H48">
        <v>92</v>
      </c>
      <c r="I48">
        <v>29</v>
      </c>
      <c r="J48">
        <v>6</v>
      </c>
      <c r="K48">
        <v>8</v>
      </c>
      <c r="L48" t="s">
        <v>29</v>
      </c>
      <c r="M48" t="s">
        <v>379</v>
      </c>
      <c r="N48" t="s">
        <v>31</v>
      </c>
      <c r="O48" t="s">
        <v>119</v>
      </c>
      <c r="P48">
        <v>18</v>
      </c>
      <c r="Q48">
        <v>870</v>
      </c>
      <c r="R48">
        <v>23</v>
      </c>
      <c r="S48" t="s">
        <v>380</v>
      </c>
      <c r="T48" t="s">
        <v>34</v>
      </c>
      <c r="U48" t="s">
        <v>381</v>
      </c>
      <c r="V48" t="s">
        <v>36</v>
      </c>
      <c r="W48" t="s">
        <v>37</v>
      </c>
      <c r="X48" t="s">
        <v>382</v>
      </c>
    </row>
    <row r="49" spans="1:24" x14ac:dyDescent="0.25">
      <c r="A49" t="s">
        <v>39</v>
      </c>
      <c r="B49" t="s">
        <v>383</v>
      </c>
      <c r="C49" t="s">
        <v>384</v>
      </c>
      <c r="D49">
        <v>93</v>
      </c>
      <c r="E49">
        <v>910</v>
      </c>
      <c r="F49" t="s">
        <v>385</v>
      </c>
      <c r="G49" t="s">
        <v>93</v>
      </c>
      <c r="H49">
        <v>4</v>
      </c>
      <c r="I49">
        <v>15</v>
      </c>
      <c r="J49">
        <v>51</v>
      </c>
      <c r="K49">
        <v>9</v>
      </c>
      <c r="L49" t="s">
        <v>29</v>
      </c>
      <c r="M49" t="s">
        <v>386</v>
      </c>
      <c r="N49" t="s">
        <v>54</v>
      </c>
      <c r="O49" t="s">
        <v>66</v>
      </c>
      <c r="P49">
        <v>10</v>
      </c>
      <c r="Q49">
        <v>964</v>
      </c>
      <c r="R49">
        <v>20</v>
      </c>
      <c r="S49" t="s">
        <v>387</v>
      </c>
      <c r="T49" t="s">
        <v>34</v>
      </c>
      <c r="U49" t="s">
        <v>388</v>
      </c>
      <c r="V49" t="s">
        <v>70</v>
      </c>
      <c r="W49" t="s">
        <v>71</v>
      </c>
      <c r="X49" t="s">
        <v>389</v>
      </c>
    </row>
    <row r="50" spans="1:24" x14ac:dyDescent="0.25">
      <c r="A50" t="s">
        <v>24</v>
      </c>
      <c r="B50" t="s">
        <v>390</v>
      </c>
      <c r="C50" t="s">
        <v>391</v>
      </c>
      <c r="D50">
        <v>28</v>
      </c>
      <c r="E50">
        <v>29</v>
      </c>
      <c r="F50" t="s">
        <v>392</v>
      </c>
      <c r="G50" t="s">
        <v>28</v>
      </c>
      <c r="H50">
        <v>30</v>
      </c>
      <c r="I50">
        <v>16</v>
      </c>
      <c r="J50">
        <v>9</v>
      </c>
      <c r="K50">
        <v>3</v>
      </c>
      <c r="L50" t="s">
        <v>63</v>
      </c>
      <c r="M50" t="s">
        <v>393</v>
      </c>
      <c r="N50" t="s">
        <v>118</v>
      </c>
      <c r="O50" t="s">
        <v>32</v>
      </c>
      <c r="P50">
        <v>9</v>
      </c>
      <c r="Q50">
        <v>109</v>
      </c>
      <c r="R50">
        <v>18</v>
      </c>
      <c r="S50" t="s">
        <v>394</v>
      </c>
      <c r="T50" t="s">
        <v>68</v>
      </c>
      <c r="U50" t="s">
        <v>395</v>
      </c>
      <c r="V50" t="s">
        <v>70</v>
      </c>
      <c r="W50" t="s">
        <v>37</v>
      </c>
      <c r="X50" t="s">
        <v>396</v>
      </c>
    </row>
    <row r="51" spans="1:24" x14ac:dyDescent="0.25">
      <c r="A51" t="s">
        <v>99</v>
      </c>
      <c r="B51" t="s">
        <v>397</v>
      </c>
      <c r="C51" t="s">
        <v>398</v>
      </c>
      <c r="D51">
        <v>19</v>
      </c>
      <c r="E51">
        <v>99</v>
      </c>
      <c r="F51" t="s">
        <v>399</v>
      </c>
      <c r="G51" t="s">
        <v>52</v>
      </c>
      <c r="H51">
        <v>97</v>
      </c>
      <c r="I51">
        <v>24</v>
      </c>
      <c r="J51">
        <v>9</v>
      </c>
      <c r="K51">
        <v>6</v>
      </c>
      <c r="L51" t="s">
        <v>63</v>
      </c>
      <c r="M51" t="s">
        <v>400</v>
      </c>
      <c r="N51" t="s">
        <v>65</v>
      </c>
      <c r="O51" t="s">
        <v>77</v>
      </c>
      <c r="P51">
        <v>28</v>
      </c>
      <c r="Q51">
        <v>177</v>
      </c>
      <c r="R51">
        <v>28</v>
      </c>
      <c r="S51" t="s">
        <v>401</v>
      </c>
      <c r="T51" t="s">
        <v>128</v>
      </c>
      <c r="U51" t="s">
        <v>402</v>
      </c>
      <c r="V51" t="s">
        <v>70</v>
      </c>
      <c r="W51" t="s">
        <v>71</v>
      </c>
      <c r="X51" t="s">
        <v>403</v>
      </c>
    </row>
    <row r="52" spans="1:24" x14ac:dyDescent="0.25">
      <c r="A52" t="s">
        <v>99</v>
      </c>
      <c r="B52" t="s">
        <v>404</v>
      </c>
      <c r="C52" t="s">
        <v>405</v>
      </c>
      <c r="D52">
        <v>91</v>
      </c>
      <c r="E52">
        <v>633</v>
      </c>
      <c r="F52" t="s">
        <v>406</v>
      </c>
      <c r="G52" t="s">
        <v>43</v>
      </c>
      <c r="H52">
        <v>31</v>
      </c>
      <c r="I52">
        <v>23</v>
      </c>
      <c r="J52">
        <v>82</v>
      </c>
      <c r="K52">
        <v>10</v>
      </c>
      <c r="L52" t="s">
        <v>44</v>
      </c>
      <c r="M52" t="s">
        <v>407</v>
      </c>
      <c r="N52" t="s">
        <v>118</v>
      </c>
      <c r="O52" t="s">
        <v>77</v>
      </c>
      <c r="P52">
        <v>20</v>
      </c>
      <c r="Q52">
        <v>306</v>
      </c>
      <c r="R52">
        <v>21</v>
      </c>
      <c r="S52" t="s">
        <v>408</v>
      </c>
      <c r="T52" t="s">
        <v>68</v>
      </c>
      <c r="U52" t="s">
        <v>409</v>
      </c>
      <c r="V52" t="s">
        <v>70</v>
      </c>
      <c r="W52" t="s">
        <v>37</v>
      </c>
      <c r="X52" t="s">
        <v>410</v>
      </c>
    </row>
    <row r="53" spans="1:24" x14ac:dyDescent="0.25">
      <c r="A53" t="s">
        <v>24</v>
      </c>
      <c r="B53" t="s">
        <v>411</v>
      </c>
      <c r="C53" t="s">
        <v>412</v>
      </c>
      <c r="D53">
        <v>61</v>
      </c>
      <c r="E53">
        <v>154</v>
      </c>
      <c r="F53" t="s">
        <v>413</v>
      </c>
      <c r="G53" t="s">
        <v>93</v>
      </c>
      <c r="H53">
        <v>100</v>
      </c>
      <c r="I53">
        <v>4</v>
      </c>
      <c r="J53">
        <v>52</v>
      </c>
      <c r="K53">
        <v>1</v>
      </c>
      <c r="L53" t="s">
        <v>44</v>
      </c>
      <c r="M53" t="s">
        <v>414</v>
      </c>
      <c r="N53" t="s">
        <v>65</v>
      </c>
      <c r="O53" t="s">
        <v>86</v>
      </c>
      <c r="P53">
        <v>18</v>
      </c>
      <c r="Q53">
        <v>673</v>
      </c>
      <c r="R53">
        <v>28</v>
      </c>
      <c r="S53" t="s">
        <v>415</v>
      </c>
      <c r="T53" t="s">
        <v>34</v>
      </c>
      <c r="U53" t="s">
        <v>416</v>
      </c>
      <c r="V53" t="s">
        <v>36</v>
      </c>
      <c r="W53" t="s">
        <v>71</v>
      </c>
      <c r="X53" t="s">
        <v>417</v>
      </c>
    </row>
    <row r="54" spans="1:24" x14ac:dyDescent="0.25">
      <c r="A54" t="s">
        <v>39</v>
      </c>
      <c r="B54" t="s">
        <v>418</v>
      </c>
      <c r="C54" t="s">
        <v>419</v>
      </c>
      <c r="D54">
        <v>1</v>
      </c>
      <c r="E54">
        <v>820</v>
      </c>
      <c r="F54" t="s">
        <v>420</v>
      </c>
      <c r="G54" t="s">
        <v>93</v>
      </c>
      <c r="H54">
        <v>64</v>
      </c>
      <c r="I54">
        <v>11</v>
      </c>
      <c r="J54">
        <v>11</v>
      </c>
      <c r="K54">
        <v>1</v>
      </c>
      <c r="L54" t="s">
        <v>29</v>
      </c>
      <c r="M54" t="s">
        <v>421</v>
      </c>
      <c r="N54" t="s">
        <v>54</v>
      </c>
      <c r="O54" t="s">
        <v>32</v>
      </c>
      <c r="P54">
        <v>10</v>
      </c>
      <c r="Q54">
        <v>727</v>
      </c>
      <c r="R54">
        <v>27</v>
      </c>
      <c r="S54" t="s">
        <v>422</v>
      </c>
      <c r="T54" t="s">
        <v>34</v>
      </c>
      <c r="U54" t="s">
        <v>423</v>
      </c>
      <c r="V54" t="s">
        <v>57</v>
      </c>
      <c r="W54" t="s">
        <v>58</v>
      </c>
      <c r="X54" t="s">
        <v>424</v>
      </c>
    </row>
    <row r="55" spans="1:24" x14ac:dyDescent="0.25">
      <c r="A55" t="s">
        <v>39</v>
      </c>
      <c r="B55" t="s">
        <v>425</v>
      </c>
      <c r="C55" t="s">
        <v>426</v>
      </c>
      <c r="D55">
        <v>93</v>
      </c>
      <c r="E55">
        <v>242</v>
      </c>
      <c r="F55" t="s">
        <v>427</v>
      </c>
      <c r="G55" t="s">
        <v>93</v>
      </c>
      <c r="H55">
        <v>96</v>
      </c>
      <c r="I55">
        <v>25</v>
      </c>
      <c r="J55">
        <v>54</v>
      </c>
      <c r="K55">
        <v>3</v>
      </c>
      <c r="L55" t="s">
        <v>29</v>
      </c>
      <c r="M55" t="s">
        <v>428</v>
      </c>
      <c r="N55" t="s">
        <v>54</v>
      </c>
      <c r="O55" t="s">
        <v>77</v>
      </c>
      <c r="P55">
        <v>1</v>
      </c>
      <c r="Q55">
        <v>631</v>
      </c>
      <c r="R55">
        <v>17</v>
      </c>
      <c r="S55" t="s">
        <v>429</v>
      </c>
      <c r="T55" t="s">
        <v>34</v>
      </c>
      <c r="U55" t="s">
        <v>430</v>
      </c>
      <c r="V55" t="s">
        <v>57</v>
      </c>
      <c r="W55" t="s">
        <v>37</v>
      </c>
      <c r="X55" t="s">
        <v>431</v>
      </c>
    </row>
    <row r="56" spans="1:24" x14ac:dyDescent="0.25">
      <c r="A56" t="s">
        <v>24</v>
      </c>
      <c r="B56" t="s">
        <v>432</v>
      </c>
      <c r="C56" t="s">
        <v>433</v>
      </c>
      <c r="D56">
        <v>11</v>
      </c>
      <c r="E56">
        <v>622</v>
      </c>
      <c r="F56" t="s">
        <v>434</v>
      </c>
      <c r="G56" t="s">
        <v>28</v>
      </c>
      <c r="H56">
        <v>33</v>
      </c>
      <c r="I56">
        <v>22</v>
      </c>
      <c r="J56">
        <v>61</v>
      </c>
      <c r="K56">
        <v>3</v>
      </c>
      <c r="L56" t="s">
        <v>29</v>
      </c>
      <c r="M56" t="s">
        <v>435</v>
      </c>
      <c r="N56" t="s">
        <v>54</v>
      </c>
      <c r="O56" t="s">
        <v>66</v>
      </c>
      <c r="P56">
        <v>26</v>
      </c>
      <c r="Q56">
        <v>497</v>
      </c>
      <c r="R56">
        <v>29</v>
      </c>
      <c r="S56" t="s">
        <v>436</v>
      </c>
      <c r="T56" t="s">
        <v>128</v>
      </c>
      <c r="U56" t="s">
        <v>437</v>
      </c>
      <c r="V56" t="s">
        <v>36</v>
      </c>
      <c r="W56" t="s">
        <v>37</v>
      </c>
      <c r="X56" t="s">
        <v>438</v>
      </c>
    </row>
    <row r="57" spans="1:24" x14ac:dyDescent="0.25">
      <c r="A57" t="s">
        <v>24</v>
      </c>
      <c r="B57" t="s">
        <v>439</v>
      </c>
      <c r="C57" t="s">
        <v>440</v>
      </c>
      <c r="D57">
        <v>16</v>
      </c>
      <c r="E57">
        <v>701</v>
      </c>
      <c r="F57" t="s">
        <v>441</v>
      </c>
      <c r="G57" t="s">
        <v>93</v>
      </c>
      <c r="H57">
        <v>97</v>
      </c>
      <c r="I57">
        <v>11</v>
      </c>
      <c r="J57">
        <v>11</v>
      </c>
      <c r="K57">
        <v>5</v>
      </c>
      <c r="L57" t="s">
        <v>44</v>
      </c>
      <c r="M57" t="s">
        <v>442</v>
      </c>
      <c r="N57" t="s">
        <v>118</v>
      </c>
      <c r="O57" t="s">
        <v>77</v>
      </c>
      <c r="P57">
        <v>27</v>
      </c>
      <c r="Q57">
        <v>918</v>
      </c>
      <c r="R57">
        <v>5</v>
      </c>
      <c r="S57" t="s">
        <v>443</v>
      </c>
      <c r="T57" t="s">
        <v>68</v>
      </c>
      <c r="U57" t="s">
        <v>444</v>
      </c>
      <c r="V57" t="s">
        <v>97</v>
      </c>
      <c r="W57" t="s">
        <v>37</v>
      </c>
      <c r="X57" t="s">
        <v>445</v>
      </c>
    </row>
    <row r="58" spans="1:24" x14ac:dyDescent="0.25">
      <c r="A58" t="s">
        <v>39</v>
      </c>
      <c r="B58" t="s">
        <v>446</v>
      </c>
      <c r="C58" t="s">
        <v>447</v>
      </c>
      <c r="D58">
        <v>90</v>
      </c>
      <c r="E58">
        <v>93</v>
      </c>
      <c r="F58" t="s">
        <v>448</v>
      </c>
      <c r="G58" t="s">
        <v>28</v>
      </c>
      <c r="H58">
        <v>25</v>
      </c>
      <c r="I58">
        <v>23</v>
      </c>
      <c r="J58">
        <v>83</v>
      </c>
      <c r="K58">
        <v>5</v>
      </c>
      <c r="L58" t="s">
        <v>63</v>
      </c>
      <c r="M58" t="s">
        <v>449</v>
      </c>
      <c r="N58" t="s">
        <v>54</v>
      </c>
      <c r="O58" t="s">
        <v>32</v>
      </c>
      <c r="P58">
        <v>24</v>
      </c>
      <c r="Q58">
        <v>826</v>
      </c>
      <c r="R58">
        <v>28</v>
      </c>
      <c r="S58" t="s">
        <v>450</v>
      </c>
      <c r="T58" t="s">
        <v>128</v>
      </c>
      <c r="U58" t="s">
        <v>451</v>
      </c>
      <c r="V58" t="s">
        <v>57</v>
      </c>
      <c r="W58" t="s">
        <v>37</v>
      </c>
      <c r="X58" t="s">
        <v>452</v>
      </c>
    </row>
    <row r="59" spans="1:24" x14ac:dyDescent="0.25">
      <c r="A59" t="s">
        <v>24</v>
      </c>
      <c r="B59" t="s">
        <v>453</v>
      </c>
      <c r="C59" t="s">
        <v>454</v>
      </c>
      <c r="D59">
        <v>65</v>
      </c>
      <c r="E59">
        <v>227</v>
      </c>
      <c r="F59" t="s">
        <v>455</v>
      </c>
      <c r="G59" t="s">
        <v>52</v>
      </c>
      <c r="H59">
        <v>5</v>
      </c>
      <c r="I59">
        <v>18</v>
      </c>
      <c r="J59">
        <v>51</v>
      </c>
      <c r="K59">
        <v>1</v>
      </c>
      <c r="L59" t="s">
        <v>29</v>
      </c>
      <c r="M59" t="s">
        <v>456</v>
      </c>
      <c r="N59" t="s">
        <v>118</v>
      </c>
      <c r="O59" t="s">
        <v>77</v>
      </c>
      <c r="P59">
        <v>21</v>
      </c>
      <c r="Q59">
        <v>588</v>
      </c>
      <c r="R59">
        <v>25</v>
      </c>
      <c r="S59" t="s">
        <v>457</v>
      </c>
      <c r="T59" t="s">
        <v>34</v>
      </c>
      <c r="U59" t="s">
        <v>458</v>
      </c>
      <c r="V59" t="s">
        <v>70</v>
      </c>
      <c r="W59" t="s">
        <v>71</v>
      </c>
      <c r="X59" t="s">
        <v>459</v>
      </c>
    </row>
    <row r="60" spans="1:24" x14ac:dyDescent="0.25">
      <c r="A60" t="s">
        <v>39</v>
      </c>
      <c r="B60" t="s">
        <v>460</v>
      </c>
      <c r="C60" t="s">
        <v>461</v>
      </c>
      <c r="D60">
        <v>81</v>
      </c>
      <c r="E60">
        <v>896</v>
      </c>
      <c r="F60" t="s">
        <v>462</v>
      </c>
      <c r="G60" t="s">
        <v>28</v>
      </c>
      <c r="H60">
        <v>10</v>
      </c>
      <c r="I60">
        <v>5</v>
      </c>
      <c r="J60">
        <v>44</v>
      </c>
      <c r="K60">
        <v>7</v>
      </c>
      <c r="L60" t="s">
        <v>44</v>
      </c>
      <c r="M60" t="s">
        <v>463</v>
      </c>
      <c r="N60" t="s">
        <v>31</v>
      </c>
      <c r="O60" t="s">
        <v>77</v>
      </c>
      <c r="P60">
        <v>18</v>
      </c>
      <c r="Q60">
        <v>396</v>
      </c>
      <c r="R60">
        <v>7</v>
      </c>
      <c r="S60" t="s">
        <v>464</v>
      </c>
      <c r="T60" t="s">
        <v>68</v>
      </c>
      <c r="U60" t="s">
        <v>465</v>
      </c>
      <c r="V60" t="s">
        <v>36</v>
      </c>
      <c r="W60" t="s">
        <v>37</v>
      </c>
      <c r="X60" t="s">
        <v>466</v>
      </c>
    </row>
    <row r="61" spans="1:24" x14ac:dyDescent="0.25">
      <c r="A61" t="s">
        <v>99</v>
      </c>
      <c r="B61" t="s">
        <v>467</v>
      </c>
      <c r="C61" t="s">
        <v>468</v>
      </c>
      <c r="D61">
        <v>30</v>
      </c>
      <c r="E61">
        <v>484</v>
      </c>
      <c r="F61" t="s">
        <v>469</v>
      </c>
      <c r="G61" t="s">
        <v>28</v>
      </c>
      <c r="H61">
        <v>100</v>
      </c>
      <c r="I61">
        <v>16</v>
      </c>
      <c r="J61">
        <v>26</v>
      </c>
      <c r="K61">
        <v>7</v>
      </c>
      <c r="L61" t="s">
        <v>29</v>
      </c>
      <c r="M61" t="s">
        <v>470</v>
      </c>
      <c r="N61" t="s">
        <v>54</v>
      </c>
      <c r="O61" t="s">
        <v>66</v>
      </c>
      <c r="P61">
        <v>11</v>
      </c>
      <c r="Q61">
        <v>176</v>
      </c>
      <c r="R61">
        <v>4</v>
      </c>
      <c r="S61" t="s">
        <v>471</v>
      </c>
      <c r="T61" t="s">
        <v>68</v>
      </c>
      <c r="U61" t="s">
        <v>472</v>
      </c>
      <c r="V61" t="s">
        <v>57</v>
      </c>
      <c r="W61" t="s">
        <v>71</v>
      </c>
      <c r="X61" t="s">
        <v>473</v>
      </c>
    </row>
    <row r="62" spans="1:24" x14ac:dyDescent="0.25">
      <c r="A62" t="s">
        <v>39</v>
      </c>
      <c r="B62" t="s">
        <v>474</v>
      </c>
      <c r="C62" t="s">
        <v>475</v>
      </c>
      <c r="D62">
        <v>16</v>
      </c>
      <c r="E62">
        <v>380</v>
      </c>
      <c r="F62" t="s">
        <v>476</v>
      </c>
      <c r="G62" t="s">
        <v>43</v>
      </c>
      <c r="H62">
        <v>41</v>
      </c>
      <c r="I62">
        <v>27</v>
      </c>
      <c r="J62">
        <v>72</v>
      </c>
      <c r="K62">
        <v>8</v>
      </c>
      <c r="L62" t="s">
        <v>63</v>
      </c>
      <c r="M62" t="s">
        <v>477</v>
      </c>
      <c r="N62" t="s">
        <v>85</v>
      </c>
      <c r="O62" t="s">
        <v>32</v>
      </c>
      <c r="P62">
        <v>29</v>
      </c>
      <c r="Q62">
        <v>929</v>
      </c>
      <c r="R62">
        <v>24</v>
      </c>
      <c r="S62" t="s">
        <v>478</v>
      </c>
      <c r="T62" t="s">
        <v>68</v>
      </c>
      <c r="U62" t="s">
        <v>479</v>
      </c>
      <c r="V62" t="s">
        <v>70</v>
      </c>
      <c r="W62" t="s">
        <v>71</v>
      </c>
      <c r="X62" t="s">
        <v>480</v>
      </c>
    </row>
    <row r="63" spans="1:24" x14ac:dyDescent="0.25">
      <c r="A63" t="s">
        <v>24</v>
      </c>
      <c r="B63" t="s">
        <v>481</v>
      </c>
      <c r="C63" t="s">
        <v>482</v>
      </c>
      <c r="D63">
        <v>23</v>
      </c>
      <c r="E63">
        <v>117</v>
      </c>
      <c r="F63" t="s">
        <v>483</v>
      </c>
      <c r="G63" t="s">
        <v>52</v>
      </c>
      <c r="H63">
        <v>32</v>
      </c>
      <c r="I63">
        <v>23</v>
      </c>
      <c r="J63">
        <v>36</v>
      </c>
      <c r="K63">
        <v>7</v>
      </c>
      <c r="L63" t="s">
        <v>63</v>
      </c>
      <c r="M63" t="s">
        <v>484</v>
      </c>
      <c r="N63" t="s">
        <v>85</v>
      </c>
      <c r="O63" t="s">
        <v>66</v>
      </c>
      <c r="P63">
        <v>14</v>
      </c>
      <c r="Q63">
        <v>480</v>
      </c>
      <c r="R63">
        <v>12</v>
      </c>
      <c r="S63" t="s">
        <v>485</v>
      </c>
      <c r="T63" t="s">
        <v>68</v>
      </c>
      <c r="U63" t="s">
        <v>486</v>
      </c>
      <c r="V63" t="s">
        <v>57</v>
      </c>
      <c r="W63" t="s">
        <v>71</v>
      </c>
      <c r="X63" t="s">
        <v>487</v>
      </c>
    </row>
    <row r="64" spans="1:24" x14ac:dyDescent="0.25">
      <c r="A64" t="s">
        <v>99</v>
      </c>
      <c r="B64" t="s">
        <v>488</v>
      </c>
      <c r="C64" t="s">
        <v>489</v>
      </c>
      <c r="D64">
        <v>89</v>
      </c>
      <c r="E64">
        <v>270</v>
      </c>
      <c r="F64" t="s">
        <v>490</v>
      </c>
      <c r="G64" t="s">
        <v>52</v>
      </c>
      <c r="H64">
        <v>86</v>
      </c>
      <c r="I64">
        <v>2</v>
      </c>
      <c r="J64">
        <v>40</v>
      </c>
      <c r="K64">
        <v>7</v>
      </c>
      <c r="L64" t="s">
        <v>63</v>
      </c>
      <c r="M64" t="s">
        <v>491</v>
      </c>
      <c r="N64" t="s">
        <v>118</v>
      </c>
      <c r="O64" t="s">
        <v>32</v>
      </c>
      <c r="P64">
        <v>13</v>
      </c>
      <c r="Q64">
        <v>751</v>
      </c>
      <c r="R64">
        <v>14</v>
      </c>
      <c r="S64" t="s">
        <v>492</v>
      </c>
      <c r="T64" t="s">
        <v>128</v>
      </c>
      <c r="U64" t="s">
        <v>493</v>
      </c>
      <c r="V64" t="s">
        <v>97</v>
      </c>
      <c r="W64" t="s">
        <v>58</v>
      </c>
      <c r="X64" t="s">
        <v>494</v>
      </c>
    </row>
    <row r="65" spans="1:24" x14ac:dyDescent="0.25">
      <c r="A65" t="s">
        <v>39</v>
      </c>
      <c r="B65" t="s">
        <v>495</v>
      </c>
      <c r="C65" t="s">
        <v>496</v>
      </c>
      <c r="D65">
        <v>55</v>
      </c>
      <c r="E65">
        <v>246</v>
      </c>
      <c r="F65" t="s">
        <v>497</v>
      </c>
      <c r="G65" t="s">
        <v>28</v>
      </c>
      <c r="H65">
        <v>54</v>
      </c>
      <c r="I65">
        <v>19</v>
      </c>
      <c r="J65">
        <v>10</v>
      </c>
      <c r="K65">
        <v>4</v>
      </c>
      <c r="L65" t="s">
        <v>44</v>
      </c>
      <c r="M65" t="s">
        <v>498</v>
      </c>
      <c r="N65" t="s">
        <v>31</v>
      </c>
      <c r="O65" t="s">
        <v>86</v>
      </c>
      <c r="P65">
        <v>18</v>
      </c>
      <c r="Q65">
        <v>736</v>
      </c>
      <c r="R65">
        <v>10</v>
      </c>
      <c r="S65" t="s">
        <v>499</v>
      </c>
      <c r="T65" t="s">
        <v>34</v>
      </c>
      <c r="U65" t="s">
        <v>500</v>
      </c>
      <c r="V65" t="s">
        <v>97</v>
      </c>
      <c r="W65" t="s">
        <v>71</v>
      </c>
      <c r="X65" t="s">
        <v>501</v>
      </c>
    </row>
    <row r="66" spans="1:24" x14ac:dyDescent="0.25">
      <c r="A66" t="s">
        <v>39</v>
      </c>
      <c r="B66" t="s">
        <v>502</v>
      </c>
      <c r="C66" t="s">
        <v>503</v>
      </c>
      <c r="D66">
        <v>11</v>
      </c>
      <c r="E66">
        <v>134</v>
      </c>
      <c r="F66" t="s">
        <v>504</v>
      </c>
      <c r="G66" t="s">
        <v>43</v>
      </c>
      <c r="H66">
        <v>73</v>
      </c>
      <c r="I66">
        <v>27</v>
      </c>
      <c r="J66">
        <v>75</v>
      </c>
      <c r="K66">
        <v>6</v>
      </c>
      <c r="L66" t="s">
        <v>63</v>
      </c>
      <c r="M66" t="s">
        <v>505</v>
      </c>
      <c r="N66" t="s">
        <v>54</v>
      </c>
      <c r="O66" t="s">
        <v>77</v>
      </c>
      <c r="P66">
        <v>17</v>
      </c>
      <c r="Q66">
        <v>328</v>
      </c>
      <c r="R66">
        <v>6</v>
      </c>
      <c r="S66" t="s">
        <v>506</v>
      </c>
      <c r="T66" t="s">
        <v>68</v>
      </c>
      <c r="U66" t="s">
        <v>507</v>
      </c>
      <c r="V66" t="s">
        <v>57</v>
      </c>
      <c r="W66" t="s">
        <v>58</v>
      </c>
      <c r="X66" t="s">
        <v>508</v>
      </c>
    </row>
    <row r="67" spans="1:24" x14ac:dyDescent="0.25">
      <c r="A67" t="s">
        <v>39</v>
      </c>
      <c r="B67" t="s">
        <v>509</v>
      </c>
      <c r="C67" t="s">
        <v>510</v>
      </c>
      <c r="D67">
        <v>72</v>
      </c>
      <c r="E67">
        <v>457</v>
      </c>
      <c r="F67" t="s">
        <v>511</v>
      </c>
      <c r="G67" t="s">
        <v>93</v>
      </c>
      <c r="H67">
        <v>57</v>
      </c>
      <c r="I67">
        <v>24</v>
      </c>
      <c r="J67">
        <v>54</v>
      </c>
      <c r="K67">
        <v>8</v>
      </c>
      <c r="L67" t="s">
        <v>63</v>
      </c>
      <c r="M67" t="s">
        <v>512</v>
      </c>
      <c r="N67" t="s">
        <v>65</v>
      </c>
      <c r="O67" t="s">
        <v>66</v>
      </c>
      <c r="P67">
        <v>16</v>
      </c>
      <c r="Q67">
        <v>358</v>
      </c>
      <c r="R67">
        <v>21</v>
      </c>
      <c r="S67" t="s">
        <v>513</v>
      </c>
      <c r="T67" t="s">
        <v>68</v>
      </c>
      <c r="U67" t="s">
        <v>514</v>
      </c>
      <c r="V67" t="s">
        <v>70</v>
      </c>
      <c r="W67" t="s">
        <v>58</v>
      </c>
      <c r="X67" t="s">
        <v>515</v>
      </c>
    </row>
    <row r="68" spans="1:24" x14ac:dyDescent="0.25">
      <c r="A68" t="s">
        <v>39</v>
      </c>
      <c r="B68" t="s">
        <v>516</v>
      </c>
      <c r="C68" t="s">
        <v>517</v>
      </c>
      <c r="D68">
        <v>52</v>
      </c>
      <c r="E68">
        <v>704</v>
      </c>
      <c r="F68" t="s">
        <v>518</v>
      </c>
      <c r="G68" t="s">
        <v>43</v>
      </c>
      <c r="H68">
        <v>13</v>
      </c>
      <c r="I68">
        <v>17</v>
      </c>
      <c r="J68">
        <v>19</v>
      </c>
      <c r="K68">
        <v>8</v>
      </c>
      <c r="L68" t="s">
        <v>44</v>
      </c>
      <c r="M68" t="s">
        <v>519</v>
      </c>
      <c r="N68" t="s">
        <v>65</v>
      </c>
      <c r="O68" t="s">
        <v>66</v>
      </c>
      <c r="P68">
        <v>24</v>
      </c>
      <c r="Q68">
        <v>867</v>
      </c>
      <c r="R68">
        <v>28</v>
      </c>
      <c r="S68" t="s">
        <v>520</v>
      </c>
      <c r="T68" t="s">
        <v>68</v>
      </c>
      <c r="U68" t="s">
        <v>521</v>
      </c>
      <c r="V68" t="s">
        <v>36</v>
      </c>
      <c r="W68" t="s">
        <v>71</v>
      </c>
      <c r="X68" t="s">
        <v>522</v>
      </c>
    </row>
    <row r="69" spans="1:24" x14ac:dyDescent="0.25">
      <c r="A69" t="s">
        <v>39</v>
      </c>
      <c r="B69" t="s">
        <v>523</v>
      </c>
      <c r="C69" t="s">
        <v>524</v>
      </c>
      <c r="D69">
        <v>16</v>
      </c>
      <c r="E69">
        <v>513</v>
      </c>
      <c r="F69" t="s">
        <v>525</v>
      </c>
      <c r="G69" t="s">
        <v>52</v>
      </c>
      <c r="H69">
        <v>12</v>
      </c>
      <c r="I69">
        <v>9</v>
      </c>
      <c r="J69">
        <v>71</v>
      </c>
      <c r="K69">
        <v>9</v>
      </c>
      <c r="L69" t="s">
        <v>63</v>
      </c>
      <c r="M69" t="s">
        <v>526</v>
      </c>
      <c r="N69" t="s">
        <v>54</v>
      </c>
      <c r="O69" t="s">
        <v>32</v>
      </c>
      <c r="P69">
        <v>10</v>
      </c>
      <c r="Q69">
        <v>198</v>
      </c>
      <c r="R69">
        <v>11</v>
      </c>
      <c r="S69" t="s">
        <v>527</v>
      </c>
      <c r="T69" t="s">
        <v>128</v>
      </c>
      <c r="U69" t="s">
        <v>528</v>
      </c>
      <c r="V69" t="s">
        <v>97</v>
      </c>
      <c r="W69" t="s">
        <v>58</v>
      </c>
      <c r="X69" t="s">
        <v>529</v>
      </c>
    </row>
    <row r="70" spans="1:24" x14ac:dyDescent="0.25">
      <c r="A70" t="s">
        <v>24</v>
      </c>
      <c r="B70" t="s">
        <v>530</v>
      </c>
      <c r="C70" t="s">
        <v>531</v>
      </c>
      <c r="D70">
        <v>29</v>
      </c>
      <c r="E70">
        <v>163</v>
      </c>
      <c r="F70" t="s">
        <v>532</v>
      </c>
      <c r="G70" t="s">
        <v>28</v>
      </c>
      <c r="H70">
        <v>0</v>
      </c>
      <c r="I70">
        <v>8</v>
      </c>
      <c r="J70">
        <v>58</v>
      </c>
      <c r="K70">
        <v>8</v>
      </c>
      <c r="L70" t="s">
        <v>29</v>
      </c>
      <c r="M70" t="s">
        <v>533</v>
      </c>
      <c r="N70" t="s">
        <v>118</v>
      </c>
      <c r="O70" t="s">
        <v>86</v>
      </c>
      <c r="P70">
        <v>2</v>
      </c>
      <c r="Q70">
        <v>375</v>
      </c>
      <c r="R70">
        <v>18</v>
      </c>
      <c r="S70" t="s">
        <v>534</v>
      </c>
      <c r="T70" t="s">
        <v>68</v>
      </c>
      <c r="U70" t="s">
        <v>535</v>
      </c>
      <c r="V70" t="s">
        <v>70</v>
      </c>
      <c r="W70" t="s">
        <v>71</v>
      </c>
      <c r="X70" t="s">
        <v>536</v>
      </c>
    </row>
    <row r="71" spans="1:24" x14ac:dyDescent="0.25">
      <c r="A71" t="s">
        <v>39</v>
      </c>
      <c r="B71" t="s">
        <v>537</v>
      </c>
      <c r="C71" t="s">
        <v>538</v>
      </c>
      <c r="D71">
        <v>62</v>
      </c>
      <c r="E71">
        <v>511</v>
      </c>
      <c r="F71" t="s">
        <v>539</v>
      </c>
      <c r="G71" t="s">
        <v>28</v>
      </c>
      <c r="H71">
        <v>95</v>
      </c>
      <c r="I71">
        <v>1</v>
      </c>
      <c r="J71">
        <v>27</v>
      </c>
      <c r="K71">
        <v>3</v>
      </c>
      <c r="L71" t="s">
        <v>29</v>
      </c>
      <c r="M71" t="s">
        <v>540</v>
      </c>
      <c r="N71" t="s">
        <v>85</v>
      </c>
      <c r="O71" t="s">
        <v>66</v>
      </c>
      <c r="P71">
        <v>9</v>
      </c>
      <c r="Q71">
        <v>862</v>
      </c>
      <c r="R71">
        <v>7</v>
      </c>
      <c r="S71" t="s">
        <v>541</v>
      </c>
      <c r="T71" t="s">
        <v>34</v>
      </c>
      <c r="U71" t="s">
        <v>542</v>
      </c>
      <c r="V71" t="s">
        <v>57</v>
      </c>
      <c r="W71" t="s">
        <v>71</v>
      </c>
      <c r="X71" t="s">
        <v>543</v>
      </c>
    </row>
    <row r="72" spans="1:24" x14ac:dyDescent="0.25">
      <c r="A72" t="s">
        <v>24</v>
      </c>
      <c r="B72" t="s">
        <v>544</v>
      </c>
      <c r="C72" t="s">
        <v>545</v>
      </c>
      <c r="D72">
        <v>90</v>
      </c>
      <c r="E72">
        <v>32</v>
      </c>
      <c r="F72" t="s">
        <v>546</v>
      </c>
      <c r="G72" t="s">
        <v>43</v>
      </c>
      <c r="H72">
        <v>10</v>
      </c>
      <c r="I72">
        <v>12</v>
      </c>
      <c r="J72">
        <v>22</v>
      </c>
      <c r="K72">
        <v>4</v>
      </c>
      <c r="L72" t="s">
        <v>29</v>
      </c>
      <c r="M72" t="s">
        <v>547</v>
      </c>
      <c r="N72" t="s">
        <v>54</v>
      </c>
      <c r="O72" t="s">
        <v>86</v>
      </c>
      <c r="P72">
        <v>22</v>
      </c>
      <c r="Q72">
        <v>775</v>
      </c>
      <c r="R72">
        <v>16</v>
      </c>
      <c r="S72" t="s">
        <v>548</v>
      </c>
      <c r="T72" t="s">
        <v>128</v>
      </c>
      <c r="U72" t="s">
        <v>549</v>
      </c>
      <c r="V72" t="s">
        <v>36</v>
      </c>
      <c r="W72" t="s">
        <v>58</v>
      </c>
      <c r="X72" t="s">
        <v>550</v>
      </c>
    </row>
    <row r="73" spans="1:24" x14ac:dyDescent="0.25">
      <c r="A73" t="s">
        <v>99</v>
      </c>
      <c r="B73" t="s">
        <v>551</v>
      </c>
      <c r="C73" t="s">
        <v>552</v>
      </c>
      <c r="D73">
        <v>14</v>
      </c>
      <c r="E73">
        <v>637</v>
      </c>
      <c r="F73" t="s">
        <v>553</v>
      </c>
      <c r="G73" t="s">
        <v>43</v>
      </c>
      <c r="H73">
        <v>76</v>
      </c>
      <c r="I73">
        <v>2</v>
      </c>
      <c r="J73">
        <v>26</v>
      </c>
      <c r="K73">
        <v>6</v>
      </c>
      <c r="L73" t="s">
        <v>44</v>
      </c>
      <c r="M73" t="s">
        <v>554</v>
      </c>
      <c r="N73" t="s">
        <v>118</v>
      </c>
      <c r="O73" t="s">
        <v>86</v>
      </c>
      <c r="P73">
        <v>2</v>
      </c>
      <c r="Q73">
        <v>258</v>
      </c>
      <c r="R73">
        <v>10</v>
      </c>
      <c r="S73" t="s">
        <v>555</v>
      </c>
      <c r="T73" t="s">
        <v>34</v>
      </c>
      <c r="U73" t="s">
        <v>556</v>
      </c>
      <c r="V73" t="s">
        <v>36</v>
      </c>
      <c r="W73" t="s">
        <v>71</v>
      </c>
      <c r="X73" t="s">
        <v>557</v>
      </c>
    </row>
    <row r="74" spans="1:24" x14ac:dyDescent="0.25">
      <c r="A74" t="s">
        <v>99</v>
      </c>
      <c r="B74" t="s">
        <v>558</v>
      </c>
      <c r="C74" t="s">
        <v>559</v>
      </c>
      <c r="D74">
        <v>88</v>
      </c>
      <c r="E74">
        <v>478</v>
      </c>
      <c r="F74" t="s">
        <v>560</v>
      </c>
      <c r="G74" t="s">
        <v>28</v>
      </c>
      <c r="H74">
        <v>57</v>
      </c>
      <c r="I74">
        <v>29</v>
      </c>
      <c r="J74">
        <v>77</v>
      </c>
      <c r="K74">
        <v>9</v>
      </c>
      <c r="L74" t="s">
        <v>44</v>
      </c>
      <c r="M74" t="s">
        <v>561</v>
      </c>
      <c r="N74" t="s">
        <v>54</v>
      </c>
      <c r="O74" t="s">
        <v>86</v>
      </c>
      <c r="P74">
        <v>21</v>
      </c>
      <c r="Q74">
        <v>152</v>
      </c>
      <c r="R74">
        <v>11</v>
      </c>
      <c r="S74" t="s">
        <v>562</v>
      </c>
      <c r="T74" t="s">
        <v>34</v>
      </c>
      <c r="U74" t="s">
        <v>563</v>
      </c>
      <c r="V74" t="s">
        <v>70</v>
      </c>
      <c r="W74" t="s">
        <v>37</v>
      </c>
      <c r="X74" t="s">
        <v>564</v>
      </c>
    </row>
    <row r="75" spans="1:24" x14ac:dyDescent="0.25">
      <c r="A75" t="s">
        <v>99</v>
      </c>
      <c r="B75" t="s">
        <v>565</v>
      </c>
      <c r="C75" t="s">
        <v>566</v>
      </c>
      <c r="D75">
        <v>41</v>
      </c>
      <c r="E75">
        <v>375</v>
      </c>
      <c r="F75" t="s">
        <v>567</v>
      </c>
      <c r="G75" t="s">
        <v>93</v>
      </c>
      <c r="H75">
        <v>17</v>
      </c>
      <c r="I75">
        <v>25</v>
      </c>
      <c r="J75">
        <v>66</v>
      </c>
      <c r="K75">
        <v>5</v>
      </c>
      <c r="L75" t="s">
        <v>29</v>
      </c>
      <c r="M75" t="s">
        <v>568</v>
      </c>
      <c r="N75" t="s">
        <v>85</v>
      </c>
      <c r="O75" t="s">
        <v>119</v>
      </c>
      <c r="P75">
        <v>13</v>
      </c>
      <c r="Q75">
        <v>444</v>
      </c>
      <c r="R75">
        <v>4</v>
      </c>
      <c r="S75" t="s">
        <v>569</v>
      </c>
      <c r="T75" t="s">
        <v>68</v>
      </c>
      <c r="U75" t="s">
        <v>570</v>
      </c>
      <c r="V75" t="s">
        <v>36</v>
      </c>
      <c r="W75" t="s">
        <v>71</v>
      </c>
      <c r="X75" t="s">
        <v>571</v>
      </c>
    </row>
    <row r="76" spans="1:24" x14ac:dyDescent="0.25">
      <c r="A76" t="s">
        <v>24</v>
      </c>
      <c r="B76" t="s">
        <v>572</v>
      </c>
      <c r="C76" t="s">
        <v>573</v>
      </c>
      <c r="D76">
        <v>64</v>
      </c>
      <c r="E76">
        <v>904</v>
      </c>
      <c r="F76" t="s">
        <v>574</v>
      </c>
      <c r="G76" t="s">
        <v>43</v>
      </c>
      <c r="H76">
        <v>41</v>
      </c>
      <c r="I76">
        <v>6</v>
      </c>
      <c r="J76">
        <v>1</v>
      </c>
      <c r="K76">
        <v>5</v>
      </c>
      <c r="L76" t="s">
        <v>44</v>
      </c>
      <c r="M76" t="s">
        <v>575</v>
      </c>
      <c r="N76" t="s">
        <v>85</v>
      </c>
      <c r="O76" t="s">
        <v>77</v>
      </c>
      <c r="P76">
        <v>1</v>
      </c>
      <c r="Q76">
        <v>919</v>
      </c>
      <c r="R76">
        <v>9</v>
      </c>
      <c r="S76" t="s">
        <v>576</v>
      </c>
      <c r="T76" t="s">
        <v>68</v>
      </c>
      <c r="U76" t="s">
        <v>577</v>
      </c>
      <c r="V76" t="s">
        <v>70</v>
      </c>
      <c r="W76" t="s">
        <v>71</v>
      </c>
      <c r="X76" t="s">
        <v>578</v>
      </c>
    </row>
    <row r="77" spans="1:24" x14ac:dyDescent="0.25">
      <c r="A77" t="s">
        <v>39</v>
      </c>
      <c r="B77" t="s">
        <v>579</v>
      </c>
      <c r="C77" t="s">
        <v>580</v>
      </c>
      <c r="D77">
        <v>29</v>
      </c>
      <c r="E77">
        <v>106</v>
      </c>
      <c r="F77" t="s">
        <v>581</v>
      </c>
      <c r="G77" t="s">
        <v>28</v>
      </c>
      <c r="H77">
        <v>16</v>
      </c>
      <c r="I77">
        <v>20</v>
      </c>
      <c r="J77">
        <v>56</v>
      </c>
      <c r="K77">
        <v>10</v>
      </c>
      <c r="L77" t="s">
        <v>63</v>
      </c>
      <c r="M77" t="s">
        <v>582</v>
      </c>
      <c r="N77" t="s">
        <v>54</v>
      </c>
      <c r="O77" t="s">
        <v>119</v>
      </c>
      <c r="P77">
        <v>25</v>
      </c>
      <c r="Q77">
        <v>759</v>
      </c>
      <c r="R77">
        <v>11</v>
      </c>
      <c r="S77" t="s">
        <v>583</v>
      </c>
      <c r="T77" t="s">
        <v>128</v>
      </c>
      <c r="U77" t="s">
        <v>584</v>
      </c>
      <c r="V77" t="s">
        <v>57</v>
      </c>
      <c r="W77" t="s">
        <v>58</v>
      </c>
      <c r="X77" t="s">
        <v>585</v>
      </c>
    </row>
    <row r="78" spans="1:24" x14ac:dyDescent="0.25">
      <c r="A78" t="s">
        <v>24</v>
      </c>
      <c r="B78" t="s">
        <v>586</v>
      </c>
      <c r="C78" t="s">
        <v>587</v>
      </c>
      <c r="D78">
        <v>23</v>
      </c>
      <c r="E78">
        <v>241</v>
      </c>
      <c r="F78" t="s">
        <v>588</v>
      </c>
      <c r="G78" t="s">
        <v>93</v>
      </c>
      <c r="H78">
        <v>38</v>
      </c>
      <c r="I78">
        <v>1</v>
      </c>
      <c r="J78">
        <v>22</v>
      </c>
      <c r="K78">
        <v>10</v>
      </c>
      <c r="L78" t="s">
        <v>44</v>
      </c>
      <c r="M78" t="s">
        <v>589</v>
      </c>
      <c r="N78" t="s">
        <v>118</v>
      </c>
      <c r="O78" t="s">
        <v>86</v>
      </c>
      <c r="P78">
        <v>25</v>
      </c>
      <c r="Q78">
        <v>985</v>
      </c>
      <c r="R78">
        <v>24</v>
      </c>
      <c r="S78" t="s">
        <v>590</v>
      </c>
      <c r="T78" t="s">
        <v>34</v>
      </c>
      <c r="U78" t="s">
        <v>591</v>
      </c>
      <c r="V78" t="s">
        <v>70</v>
      </c>
      <c r="W78" t="s">
        <v>71</v>
      </c>
      <c r="X78" t="s">
        <v>592</v>
      </c>
    </row>
    <row r="79" spans="1:24" x14ac:dyDescent="0.25">
      <c r="A79" t="s">
        <v>24</v>
      </c>
      <c r="B79" t="s">
        <v>593</v>
      </c>
      <c r="C79" t="s">
        <v>594</v>
      </c>
      <c r="D79">
        <v>14</v>
      </c>
      <c r="E79">
        <v>359</v>
      </c>
      <c r="F79" t="s">
        <v>595</v>
      </c>
      <c r="G79" t="s">
        <v>52</v>
      </c>
      <c r="H79">
        <v>96</v>
      </c>
      <c r="I79">
        <v>28</v>
      </c>
      <c r="J79">
        <v>57</v>
      </c>
      <c r="K79">
        <v>4</v>
      </c>
      <c r="L79" t="s">
        <v>29</v>
      </c>
      <c r="M79" t="s">
        <v>596</v>
      </c>
      <c r="N79" t="s">
        <v>54</v>
      </c>
      <c r="O79" t="s">
        <v>66</v>
      </c>
      <c r="P79">
        <v>26</v>
      </c>
      <c r="Q79">
        <v>334</v>
      </c>
      <c r="R79">
        <v>5</v>
      </c>
      <c r="S79" t="s">
        <v>597</v>
      </c>
      <c r="T79" t="s">
        <v>128</v>
      </c>
      <c r="U79" t="s">
        <v>598</v>
      </c>
      <c r="V79" t="s">
        <v>36</v>
      </c>
      <c r="W79" t="s">
        <v>37</v>
      </c>
      <c r="X79" t="s">
        <v>599</v>
      </c>
    </row>
    <row r="80" spans="1:24" x14ac:dyDescent="0.25">
      <c r="A80" t="s">
        <v>24</v>
      </c>
      <c r="B80" t="s">
        <v>600</v>
      </c>
      <c r="C80" t="s">
        <v>601</v>
      </c>
      <c r="D80">
        <v>50</v>
      </c>
      <c r="E80">
        <v>946</v>
      </c>
      <c r="F80" t="s">
        <v>602</v>
      </c>
      <c r="G80" t="s">
        <v>52</v>
      </c>
      <c r="H80">
        <v>5</v>
      </c>
      <c r="I80">
        <v>4</v>
      </c>
      <c r="J80">
        <v>51</v>
      </c>
      <c r="K80">
        <v>5</v>
      </c>
      <c r="L80" t="s">
        <v>29</v>
      </c>
      <c r="M80" t="s">
        <v>603</v>
      </c>
      <c r="N80" t="s">
        <v>65</v>
      </c>
      <c r="O80" t="s">
        <v>32</v>
      </c>
      <c r="P80">
        <v>25</v>
      </c>
      <c r="Q80">
        <v>858</v>
      </c>
      <c r="R80">
        <v>21</v>
      </c>
      <c r="S80" t="s">
        <v>604</v>
      </c>
      <c r="T80" t="s">
        <v>34</v>
      </c>
      <c r="U80" t="s">
        <v>605</v>
      </c>
      <c r="V80" t="s">
        <v>97</v>
      </c>
      <c r="W80" t="s">
        <v>58</v>
      </c>
      <c r="X80" t="s">
        <v>606</v>
      </c>
    </row>
    <row r="81" spans="1:24" x14ac:dyDescent="0.25">
      <c r="A81" t="s">
        <v>24</v>
      </c>
      <c r="B81" t="s">
        <v>607</v>
      </c>
      <c r="C81" t="s">
        <v>608</v>
      </c>
      <c r="D81">
        <v>56</v>
      </c>
      <c r="E81">
        <v>198</v>
      </c>
      <c r="F81" t="s">
        <v>609</v>
      </c>
      <c r="G81" t="s">
        <v>28</v>
      </c>
      <c r="H81">
        <v>31</v>
      </c>
      <c r="I81">
        <v>25</v>
      </c>
      <c r="J81">
        <v>20</v>
      </c>
      <c r="K81">
        <v>1</v>
      </c>
      <c r="L81" t="s">
        <v>29</v>
      </c>
      <c r="M81" t="s">
        <v>610</v>
      </c>
      <c r="N81" t="s">
        <v>31</v>
      </c>
      <c r="O81" t="s">
        <v>86</v>
      </c>
      <c r="P81">
        <v>5</v>
      </c>
      <c r="Q81">
        <v>228</v>
      </c>
      <c r="R81">
        <v>12</v>
      </c>
      <c r="S81" t="s">
        <v>611</v>
      </c>
      <c r="T81" t="s">
        <v>34</v>
      </c>
      <c r="U81" t="s">
        <v>612</v>
      </c>
      <c r="V81" t="s">
        <v>57</v>
      </c>
      <c r="W81" t="s">
        <v>58</v>
      </c>
      <c r="X81" t="s">
        <v>613</v>
      </c>
    </row>
    <row r="82" spans="1:24" x14ac:dyDescent="0.25">
      <c r="A82" t="s">
        <v>39</v>
      </c>
      <c r="B82" t="s">
        <v>614</v>
      </c>
      <c r="C82" t="s">
        <v>615</v>
      </c>
      <c r="D82">
        <v>75</v>
      </c>
      <c r="E82">
        <v>872</v>
      </c>
      <c r="F82" t="s">
        <v>616</v>
      </c>
      <c r="G82" t="s">
        <v>52</v>
      </c>
      <c r="H82">
        <v>39</v>
      </c>
      <c r="I82">
        <v>14</v>
      </c>
      <c r="J82">
        <v>41</v>
      </c>
      <c r="K82">
        <v>2</v>
      </c>
      <c r="L82" t="s">
        <v>63</v>
      </c>
      <c r="M82" t="s">
        <v>617</v>
      </c>
      <c r="N82" t="s">
        <v>31</v>
      </c>
      <c r="O82" t="s">
        <v>119</v>
      </c>
      <c r="P82">
        <v>8</v>
      </c>
      <c r="Q82">
        <v>202</v>
      </c>
      <c r="R82">
        <v>5</v>
      </c>
      <c r="S82" t="s">
        <v>618</v>
      </c>
      <c r="T82" t="s">
        <v>68</v>
      </c>
      <c r="U82" t="s">
        <v>619</v>
      </c>
      <c r="V82" t="s">
        <v>97</v>
      </c>
      <c r="W82" t="s">
        <v>37</v>
      </c>
      <c r="X82" t="s">
        <v>620</v>
      </c>
    </row>
    <row r="83" spans="1:24" x14ac:dyDescent="0.25">
      <c r="A83" t="s">
        <v>24</v>
      </c>
      <c r="B83" t="s">
        <v>621</v>
      </c>
      <c r="C83" t="s">
        <v>622</v>
      </c>
      <c r="D83">
        <v>9</v>
      </c>
      <c r="E83">
        <v>774</v>
      </c>
      <c r="F83" t="s">
        <v>623</v>
      </c>
      <c r="G83" t="s">
        <v>52</v>
      </c>
      <c r="H83">
        <v>48</v>
      </c>
      <c r="I83">
        <v>6</v>
      </c>
      <c r="J83">
        <v>8</v>
      </c>
      <c r="K83">
        <v>5</v>
      </c>
      <c r="L83" t="s">
        <v>29</v>
      </c>
      <c r="M83" t="s">
        <v>624</v>
      </c>
      <c r="N83" t="s">
        <v>31</v>
      </c>
      <c r="O83" t="s">
        <v>77</v>
      </c>
      <c r="P83">
        <v>28</v>
      </c>
      <c r="Q83">
        <v>698</v>
      </c>
      <c r="R83">
        <v>1</v>
      </c>
      <c r="S83" t="s">
        <v>625</v>
      </c>
      <c r="T83" t="s">
        <v>34</v>
      </c>
      <c r="U83" t="s">
        <v>626</v>
      </c>
      <c r="V83" t="s">
        <v>70</v>
      </c>
      <c r="W83" t="s">
        <v>37</v>
      </c>
      <c r="X83" t="s">
        <v>627</v>
      </c>
    </row>
    <row r="84" spans="1:24" x14ac:dyDescent="0.25">
      <c r="A84" t="s">
        <v>39</v>
      </c>
      <c r="B84" t="s">
        <v>628</v>
      </c>
      <c r="C84" t="s">
        <v>629</v>
      </c>
      <c r="D84">
        <v>13</v>
      </c>
      <c r="E84">
        <v>336</v>
      </c>
      <c r="F84" t="s">
        <v>630</v>
      </c>
      <c r="G84" t="s">
        <v>52</v>
      </c>
      <c r="H84">
        <v>42</v>
      </c>
      <c r="I84">
        <v>19</v>
      </c>
      <c r="J84">
        <v>72</v>
      </c>
      <c r="K84">
        <v>1</v>
      </c>
      <c r="L84" t="s">
        <v>44</v>
      </c>
      <c r="M84" t="s">
        <v>631</v>
      </c>
      <c r="N84" t="s">
        <v>118</v>
      </c>
      <c r="O84" t="s">
        <v>32</v>
      </c>
      <c r="P84">
        <v>6</v>
      </c>
      <c r="Q84">
        <v>955</v>
      </c>
      <c r="R84">
        <v>26</v>
      </c>
      <c r="S84" t="s">
        <v>632</v>
      </c>
      <c r="T84" t="s">
        <v>34</v>
      </c>
      <c r="U84" t="s">
        <v>633</v>
      </c>
      <c r="V84" t="s">
        <v>36</v>
      </c>
      <c r="W84" t="s">
        <v>58</v>
      </c>
      <c r="X84" t="s">
        <v>634</v>
      </c>
    </row>
    <row r="85" spans="1:24" x14ac:dyDescent="0.25">
      <c r="A85" t="s">
        <v>24</v>
      </c>
      <c r="B85" t="s">
        <v>635</v>
      </c>
      <c r="C85" t="s">
        <v>636</v>
      </c>
      <c r="D85">
        <v>82</v>
      </c>
      <c r="E85">
        <v>663</v>
      </c>
      <c r="F85" t="s">
        <v>637</v>
      </c>
      <c r="G85" t="s">
        <v>52</v>
      </c>
      <c r="H85">
        <v>65</v>
      </c>
      <c r="I85">
        <v>24</v>
      </c>
      <c r="J85">
        <v>7</v>
      </c>
      <c r="K85">
        <v>8</v>
      </c>
      <c r="L85" t="s">
        <v>29</v>
      </c>
      <c r="M85" t="s">
        <v>638</v>
      </c>
      <c r="N85" t="s">
        <v>54</v>
      </c>
      <c r="O85" t="s">
        <v>86</v>
      </c>
      <c r="P85">
        <v>20</v>
      </c>
      <c r="Q85">
        <v>443</v>
      </c>
      <c r="R85">
        <v>5</v>
      </c>
      <c r="S85" t="s">
        <v>639</v>
      </c>
      <c r="T85" t="s">
        <v>68</v>
      </c>
      <c r="U85" t="s">
        <v>640</v>
      </c>
      <c r="V85" t="s">
        <v>36</v>
      </c>
      <c r="W85" t="s">
        <v>71</v>
      </c>
      <c r="X85" t="s">
        <v>641</v>
      </c>
    </row>
    <row r="86" spans="1:24" x14ac:dyDescent="0.25">
      <c r="A86" t="s">
        <v>24</v>
      </c>
      <c r="B86" t="s">
        <v>642</v>
      </c>
      <c r="C86" t="s">
        <v>643</v>
      </c>
      <c r="D86">
        <v>99</v>
      </c>
      <c r="E86">
        <v>618</v>
      </c>
      <c r="F86" t="s">
        <v>644</v>
      </c>
      <c r="G86" t="s">
        <v>52</v>
      </c>
      <c r="H86">
        <v>73</v>
      </c>
      <c r="I86">
        <v>26</v>
      </c>
      <c r="J86">
        <v>80</v>
      </c>
      <c r="K86">
        <v>10</v>
      </c>
      <c r="L86" t="s">
        <v>44</v>
      </c>
      <c r="M86" t="s">
        <v>645</v>
      </c>
      <c r="N86" t="s">
        <v>65</v>
      </c>
      <c r="O86" t="s">
        <v>119</v>
      </c>
      <c r="P86">
        <v>24</v>
      </c>
      <c r="Q86">
        <v>589</v>
      </c>
      <c r="R86">
        <v>22</v>
      </c>
      <c r="S86" t="s">
        <v>646</v>
      </c>
      <c r="T86" t="s">
        <v>128</v>
      </c>
      <c r="U86" t="s">
        <v>647</v>
      </c>
      <c r="V86" t="s">
        <v>57</v>
      </c>
      <c r="W86" t="s">
        <v>37</v>
      </c>
      <c r="X86" t="s">
        <v>648</v>
      </c>
    </row>
    <row r="87" spans="1:24" x14ac:dyDescent="0.25">
      <c r="A87" t="s">
        <v>99</v>
      </c>
      <c r="B87" t="s">
        <v>649</v>
      </c>
      <c r="C87" t="s">
        <v>650</v>
      </c>
      <c r="D87">
        <v>83</v>
      </c>
      <c r="E87">
        <v>25</v>
      </c>
      <c r="F87" t="s">
        <v>651</v>
      </c>
      <c r="G87" t="s">
        <v>43</v>
      </c>
      <c r="H87">
        <v>15</v>
      </c>
      <c r="I87">
        <v>18</v>
      </c>
      <c r="J87">
        <v>66</v>
      </c>
      <c r="K87">
        <v>2</v>
      </c>
      <c r="L87" t="s">
        <v>63</v>
      </c>
      <c r="M87" t="s">
        <v>652</v>
      </c>
      <c r="N87" t="s">
        <v>65</v>
      </c>
      <c r="O87" t="s">
        <v>119</v>
      </c>
      <c r="P87">
        <v>4</v>
      </c>
      <c r="Q87">
        <v>211</v>
      </c>
      <c r="R87">
        <v>2</v>
      </c>
      <c r="S87" t="s">
        <v>653</v>
      </c>
      <c r="T87" t="s">
        <v>68</v>
      </c>
      <c r="U87" t="s">
        <v>654</v>
      </c>
      <c r="V87" t="s">
        <v>36</v>
      </c>
      <c r="W87" t="s">
        <v>37</v>
      </c>
      <c r="X87" t="s">
        <v>655</v>
      </c>
    </row>
    <row r="88" spans="1:24" x14ac:dyDescent="0.25">
      <c r="A88" t="s">
        <v>39</v>
      </c>
      <c r="B88" t="s">
        <v>656</v>
      </c>
      <c r="C88" t="s">
        <v>657</v>
      </c>
      <c r="D88">
        <v>18</v>
      </c>
      <c r="E88">
        <v>223</v>
      </c>
      <c r="F88" t="s">
        <v>658</v>
      </c>
      <c r="G88" t="s">
        <v>52</v>
      </c>
      <c r="H88">
        <v>32</v>
      </c>
      <c r="I88">
        <v>14</v>
      </c>
      <c r="J88">
        <v>22</v>
      </c>
      <c r="K88">
        <v>6</v>
      </c>
      <c r="L88" t="s">
        <v>29</v>
      </c>
      <c r="M88" t="s">
        <v>659</v>
      </c>
      <c r="N88" t="s">
        <v>54</v>
      </c>
      <c r="O88" t="s">
        <v>32</v>
      </c>
      <c r="P88">
        <v>4</v>
      </c>
      <c r="Q88">
        <v>569</v>
      </c>
      <c r="R88">
        <v>18</v>
      </c>
      <c r="S88" t="s">
        <v>660</v>
      </c>
      <c r="T88" t="s">
        <v>128</v>
      </c>
      <c r="U88" t="s">
        <v>661</v>
      </c>
      <c r="V88" t="s">
        <v>70</v>
      </c>
      <c r="W88" t="s">
        <v>71</v>
      </c>
      <c r="X88" t="s">
        <v>662</v>
      </c>
    </row>
    <row r="89" spans="1:24" x14ac:dyDescent="0.25">
      <c r="A89" t="s">
        <v>24</v>
      </c>
      <c r="B89" t="s">
        <v>663</v>
      </c>
      <c r="C89" t="s">
        <v>664</v>
      </c>
      <c r="D89">
        <v>24</v>
      </c>
      <c r="E89">
        <v>79</v>
      </c>
      <c r="F89" t="s">
        <v>665</v>
      </c>
      <c r="G89" t="s">
        <v>93</v>
      </c>
      <c r="H89">
        <v>5</v>
      </c>
      <c r="I89">
        <v>7</v>
      </c>
      <c r="J89">
        <v>55</v>
      </c>
      <c r="K89">
        <v>10</v>
      </c>
      <c r="L89" t="s">
        <v>44</v>
      </c>
      <c r="M89" t="s">
        <v>666</v>
      </c>
      <c r="N89" t="s">
        <v>31</v>
      </c>
      <c r="O89" t="s">
        <v>119</v>
      </c>
      <c r="P89">
        <v>27</v>
      </c>
      <c r="Q89">
        <v>523</v>
      </c>
      <c r="R89">
        <v>17</v>
      </c>
      <c r="S89" t="s">
        <v>667</v>
      </c>
      <c r="T89" t="s">
        <v>68</v>
      </c>
      <c r="U89" t="s">
        <v>668</v>
      </c>
      <c r="V89" t="s">
        <v>97</v>
      </c>
      <c r="W89" t="s">
        <v>37</v>
      </c>
      <c r="X89" t="s">
        <v>669</v>
      </c>
    </row>
    <row r="90" spans="1:24" x14ac:dyDescent="0.25">
      <c r="A90" t="s">
        <v>99</v>
      </c>
      <c r="B90" t="s">
        <v>670</v>
      </c>
      <c r="C90" t="s">
        <v>671</v>
      </c>
      <c r="D90">
        <v>58</v>
      </c>
      <c r="E90">
        <v>737</v>
      </c>
      <c r="F90" t="s">
        <v>672</v>
      </c>
      <c r="G90" t="s">
        <v>93</v>
      </c>
      <c r="H90">
        <v>60</v>
      </c>
      <c r="I90">
        <v>18</v>
      </c>
      <c r="J90">
        <v>85</v>
      </c>
      <c r="K90">
        <v>7</v>
      </c>
      <c r="L90" t="s">
        <v>44</v>
      </c>
      <c r="M90" t="s">
        <v>673</v>
      </c>
      <c r="N90" t="s">
        <v>118</v>
      </c>
      <c r="O90" t="s">
        <v>32</v>
      </c>
      <c r="P90">
        <v>21</v>
      </c>
      <c r="Q90">
        <v>953</v>
      </c>
      <c r="R90">
        <v>11</v>
      </c>
      <c r="S90" t="s">
        <v>674</v>
      </c>
      <c r="T90" t="s">
        <v>34</v>
      </c>
      <c r="U90" t="s">
        <v>675</v>
      </c>
      <c r="V90" t="s">
        <v>97</v>
      </c>
      <c r="W90" t="s">
        <v>71</v>
      </c>
      <c r="X90" t="s">
        <v>676</v>
      </c>
    </row>
    <row r="91" spans="1:24" x14ac:dyDescent="0.25">
      <c r="A91" t="s">
        <v>99</v>
      </c>
      <c r="B91" t="s">
        <v>677</v>
      </c>
      <c r="C91" t="s">
        <v>678</v>
      </c>
      <c r="D91">
        <v>10</v>
      </c>
      <c r="E91">
        <v>134</v>
      </c>
      <c r="F91" t="s">
        <v>679</v>
      </c>
      <c r="G91" t="s">
        <v>52</v>
      </c>
      <c r="H91">
        <v>90</v>
      </c>
      <c r="I91">
        <v>1</v>
      </c>
      <c r="J91">
        <v>27</v>
      </c>
      <c r="K91">
        <v>8</v>
      </c>
      <c r="L91" t="s">
        <v>29</v>
      </c>
      <c r="M91" t="s">
        <v>680</v>
      </c>
      <c r="N91" t="s">
        <v>54</v>
      </c>
      <c r="O91" t="s">
        <v>66</v>
      </c>
      <c r="P91">
        <v>23</v>
      </c>
      <c r="Q91">
        <v>370</v>
      </c>
      <c r="R91">
        <v>11</v>
      </c>
      <c r="S91" t="s">
        <v>681</v>
      </c>
      <c r="T91" t="s">
        <v>34</v>
      </c>
      <c r="U91" t="s">
        <v>682</v>
      </c>
      <c r="V91" t="s">
        <v>70</v>
      </c>
      <c r="W91" t="s">
        <v>37</v>
      </c>
      <c r="X91" t="s">
        <v>683</v>
      </c>
    </row>
    <row r="92" spans="1:24" x14ac:dyDescent="0.25">
      <c r="A92" t="s">
        <v>39</v>
      </c>
      <c r="B92" t="s">
        <v>684</v>
      </c>
      <c r="C92" t="s">
        <v>685</v>
      </c>
      <c r="D92">
        <v>56</v>
      </c>
      <c r="E92">
        <v>320</v>
      </c>
      <c r="F92" t="s">
        <v>686</v>
      </c>
      <c r="G92" t="s">
        <v>28</v>
      </c>
      <c r="H92">
        <v>66</v>
      </c>
      <c r="I92">
        <v>18</v>
      </c>
      <c r="J92">
        <v>96</v>
      </c>
      <c r="K92">
        <v>7</v>
      </c>
      <c r="L92" t="s">
        <v>29</v>
      </c>
      <c r="M92" t="s">
        <v>687</v>
      </c>
      <c r="N92" t="s">
        <v>31</v>
      </c>
      <c r="O92" t="s">
        <v>86</v>
      </c>
      <c r="P92">
        <v>8</v>
      </c>
      <c r="Q92">
        <v>585</v>
      </c>
      <c r="R92">
        <v>8</v>
      </c>
      <c r="S92" t="s">
        <v>688</v>
      </c>
      <c r="T92" t="s">
        <v>128</v>
      </c>
      <c r="U92" t="s">
        <v>689</v>
      </c>
      <c r="V92" t="s">
        <v>70</v>
      </c>
      <c r="W92" t="s">
        <v>37</v>
      </c>
      <c r="X92" t="s">
        <v>690</v>
      </c>
    </row>
    <row r="93" spans="1:24" x14ac:dyDescent="0.25">
      <c r="A93" t="s">
        <v>99</v>
      </c>
      <c r="B93" t="s">
        <v>691</v>
      </c>
      <c r="C93" t="s">
        <v>692</v>
      </c>
      <c r="D93">
        <v>90</v>
      </c>
      <c r="E93">
        <v>916</v>
      </c>
      <c r="F93" t="s">
        <v>693</v>
      </c>
      <c r="G93" t="s">
        <v>93</v>
      </c>
      <c r="H93">
        <v>98</v>
      </c>
      <c r="I93">
        <v>22</v>
      </c>
      <c r="J93">
        <v>85</v>
      </c>
      <c r="K93">
        <v>7</v>
      </c>
      <c r="L93" t="s">
        <v>29</v>
      </c>
      <c r="M93" t="s">
        <v>694</v>
      </c>
      <c r="N93" t="s">
        <v>85</v>
      </c>
      <c r="O93" t="s">
        <v>77</v>
      </c>
      <c r="P93">
        <v>5</v>
      </c>
      <c r="Q93">
        <v>207</v>
      </c>
      <c r="R93">
        <v>28</v>
      </c>
      <c r="S93" t="s">
        <v>695</v>
      </c>
      <c r="T93" t="s">
        <v>34</v>
      </c>
      <c r="U93" t="s">
        <v>696</v>
      </c>
      <c r="V93" t="s">
        <v>70</v>
      </c>
      <c r="W93" t="s">
        <v>37</v>
      </c>
      <c r="X93" t="s">
        <v>697</v>
      </c>
    </row>
    <row r="94" spans="1:24" x14ac:dyDescent="0.25">
      <c r="A94" t="s">
        <v>99</v>
      </c>
      <c r="B94" t="s">
        <v>698</v>
      </c>
      <c r="C94" t="s">
        <v>699</v>
      </c>
      <c r="D94">
        <v>44</v>
      </c>
      <c r="E94">
        <v>276</v>
      </c>
      <c r="F94" t="s">
        <v>700</v>
      </c>
      <c r="G94" t="s">
        <v>93</v>
      </c>
      <c r="H94">
        <v>90</v>
      </c>
      <c r="I94">
        <v>25</v>
      </c>
      <c r="J94">
        <v>10</v>
      </c>
      <c r="K94">
        <v>8</v>
      </c>
      <c r="L94" t="s">
        <v>29</v>
      </c>
      <c r="M94" t="s">
        <v>701</v>
      </c>
      <c r="N94" t="s">
        <v>118</v>
      </c>
      <c r="O94" t="s">
        <v>32</v>
      </c>
      <c r="P94">
        <v>4</v>
      </c>
      <c r="Q94">
        <v>671</v>
      </c>
      <c r="R94">
        <v>29</v>
      </c>
      <c r="S94" t="s">
        <v>702</v>
      </c>
      <c r="T94" t="s">
        <v>128</v>
      </c>
      <c r="U94" t="s">
        <v>703</v>
      </c>
      <c r="V94" t="s">
        <v>70</v>
      </c>
      <c r="W94" t="s">
        <v>37</v>
      </c>
      <c r="X94" t="s">
        <v>704</v>
      </c>
    </row>
    <row r="95" spans="1:24" x14ac:dyDescent="0.25">
      <c r="A95" t="s">
        <v>24</v>
      </c>
      <c r="B95" t="s">
        <v>705</v>
      </c>
      <c r="C95" t="s">
        <v>706</v>
      </c>
      <c r="D95">
        <v>88</v>
      </c>
      <c r="E95">
        <v>114</v>
      </c>
      <c r="F95" t="s">
        <v>707</v>
      </c>
      <c r="G95" t="s">
        <v>52</v>
      </c>
      <c r="H95">
        <v>63</v>
      </c>
      <c r="I95">
        <v>17</v>
      </c>
      <c r="J95">
        <v>66</v>
      </c>
      <c r="K95">
        <v>1</v>
      </c>
      <c r="L95" t="s">
        <v>63</v>
      </c>
      <c r="M95" t="s">
        <v>708</v>
      </c>
      <c r="N95" t="s">
        <v>85</v>
      </c>
      <c r="O95" t="s">
        <v>119</v>
      </c>
      <c r="P95">
        <v>21</v>
      </c>
      <c r="Q95">
        <v>824</v>
      </c>
      <c r="R95">
        <v>20</v>
      </c>
      <c r="S95" t="s">
        <v>709</v>
      </c>
      <c r="T95" t="s">
        <v>68</v>
      </c>
      <c r="U95" t="s">
        <v>710</v>
      </c>
      <c r="V95" t="s">
        <v>57</v>
      </c>
      <c r="W95" t="s">
        <v>71</v>
      </c>
      <c r="X95" t="s">
        <v>711</v>
      </c>
    </row>
    <row r="96" spans="1:24" x14ac:dyDescent="0.25">
      <c r="A96" t="s">
        <v>99</v>
      </c>
      <c r="B96" t="s">
        <v>712</v>
      </c>
      <c r="C96" t="s">
        <v>713</v>
      </c>
      <c r="D96">
        <v>97</v>
      </c>
      <c r="E96">
        <v>987</v>
      </c>
      <c r="F96" t="s">
        <v>714</v>
      </c>
      <c r="G96" t="s">
        <v>52</v>
      </c>
      <c r="H96">
        <v>77</v>
      </c>
      <c r="I96">
        <v>26</v>
      </c>
      <c r="J96">
        <v>72</v>
      </c>
      <c r="K96">
        <v>9</v>
      </c>
      <c r="L96" t="s">
        <v>29</v>
      </c>
      <c r="M96" t="s">
        <v>715</v>
      </c>
      <c r="N96" t="s">
        <v>118</v>
      </c>
      <c r="O96" t="s">
        <v>77</v>
      </c>
      <c r="P96">
        <v>12</v>
      </c>
      <c r="Q96">
        <v>908</v>
      </c>
      <c r="R96">
        <v>14</v>
      </c>
      <c r="S96" t="s">
        <v>716</v>
      </c>
      <c r="T96" t="s">
        <v>128</v>
      </c>
      <c r="U96" t="s">
        <v>717</v>
      </c>
      <c r="V96" t="s">
        <v>70</v>
      </c>
      <c r="W96" t="s">
        <v>37</v>
      </c>
      <c r="X96" t="s">
        <v>718</v>
      </c>
    </row>
    <row r="97" spans="1:24" x14ac:dyDescent="0.25">
      <c r="A97" t="s">
        <v>24</v>
      </c>
      <c r="B97" t="s">
        <v>719</v>
      </c>
      <c r="C97" t="s">
        <v>720</v>
      </c>
      <c r="D97">
        <v>65</v>
      </c>
      <c r="E97">
        <v>672</v>
      </c>
      <c r="F97" t="s">
        <v>721</v>
      </c>
      <c r="G97" t="s">
        <v>52</v>
      </c>
      <c r="H97">
        <v>15</v>
      </c>
      <c r="I97">
        <v>14</v>
      </c>
      <c r="J97">
        <v>26</v>
      </c>
      <c r="K97">
        <v>9</v>
      </c>
      <c r="L97" t="s">
        <v>29</v>
      </c>
      <c r="M97" t="s">
        <v>722</v>
      </c>
      <c r="N97" t="s">
        <v>85</v>
      </c>
      <c r="O97" t="s">
        <v>32</v>
      </c>
      <c r="P97">
        <v>18</v>
      </c>
      <c r="Q97">
        <v>450</v>
      </c>
      <c r="R97">
        <v>26</v>
      </c>
      <c r="S97" t="s">
        <v>723</v>
      </c>
      <c r="T97" t="s">
        <v>34</v>
      </c>
      <c r="U97" t="s">
        <v>724</v>
      </c>
      <c r="V97" t="s">
        <v>57</v>
      </c>
      <c r="W97" t="s">
        <v>71</v>
      </c>
      <c r="X97" t="s">
        <v>725</v>
      </c>
    </row>
    <row r="98" spans="1:24" x14ac:dyDescent="0.25">
      <c r="A98" t="s">
        <v>99</v>
      </c>
      <c r="B98" t="s">
        <v>726</v>
      </c>
      <c r="C98" t="s">
        <v>727</v>
      </c>
      <c r="D98">
        <v>29</v>
      </c>
      <c r="E98">
        <v>324</v>
      </c>
      <c r="F98" t="s">
        <v>728</v>
      </c>
      <c r="G98" t="s">
        <v>28</v>
      </c>
      <c r="H98">
        <v>67</v>
      </c>
      <c r="I98">
        <v>2</v>
      </c>
      <c r="J98">
        <v>32</v>
      </c>
      <c r="K98">
        <v>3</v>
      </c>
      <c r="L98" t="s">
        <v>63</v>
      </c>
      <c r="M98" t="s">
        <v>729</v>
      </c>
      <c r="N98" t="s">
        <v>31</v>
      </c>
      <c r="O98" t="s">
        <v>32</v>
      </c>
      <c r="P98">
        <v>28</v>
      </c>
      <c r="Q98">
        <v>648</v>
      </c>
      <c r="R98">
        <v>28</v>
      </c>
      <c r="S98" t="s">
        <v>730</v>
      </c>
      <c r="T98" t="s">
        <v>34</v>
      </c>
      <c r="U98" t="s">
        <v>731</v>
      </c>
      <c r="V98" t="s">
        <v>36</v>
      </c>
      <c r="W98" t="s">
        <v>71</v>
      </c>
      <c r="X98" t="s">
        <v>732</v>
      </c>
    </row>
    <row r="99" spans="1:24" x14ac:dyDescent="0.25">
      <c r="A99" t="s">
        <v>24</v>
      </c>
      <c r="B99" t="s">
        <v>733</v>
      </c>
      <c r="C99" t="s">
        <v>734</v>
      </c>
      <c r="D99">
        <v>56</v>
      </c>
      <c r="E99">
        <v>62</v>
      </c>
      <c r="F99" t="s">
        <v>735</v>
      </c>
      <c r="G99" t="s">
        <v>93</v>
      </c>
      <c r="H99">
        <v>46</v>
      </c>
      <c r="I99">
        <v>19</v>
      </c>
      <c r="J99">
        <v>4</v>
      </c>
      <c r="K99">
        <v>9</v>
      </c>
      <c r="L99" t="s">
        <v>44</v>
      </c>
      <c r="M99" t="s">
        <v>736</v>
      </c>
      <c r="N99" t="s">
        <v>85</v>
      </c>
      <c r="O99" t="s">
        <v>32</v>
      </c>
      <c r="P99">
        <v>10</v>
      </c>
      <c r="Q99">
        <v>535</v>
      </c>
      <c r="R99">
        <v>13</v>
      </c>
      <c r="S99" t="s">
        <v>737</v>
      </c>
      <c r="T99" t="s">
        <v>68</v>
      </c>
      <c r="U99" t="s">
        <v>738</v>
      </c>
      <c r="V99" t="s">
        <v>36</v>
      </c>
      <c r="W99" t="s">
        <v>71</v>
      </c>
      <c r="X99" t="s">
        <v>739</v>
      </c>
    </row>
    <row r="100" spans="1:24" x14ac:dyDescent="0.25">
      <c r="A100" t="s">
        <v>39</v>
      </c>
      <c r="B100" t="s">
        <v>740</v>
      </c>
      <c r="C100" t="s">
        <v>741</v>
      </c>
      <c r="D100">
        <v>43</v>
      </c>
      <c r="E100">
        <v>913</v>
      </c>
      <c r="F100" t="s">
        <v>742</v>
      </c>
      <c r="G100" t="s">
        <v>43</v>
      </c>
      <c r="H100">
        <v>53</v>
      </c>
      <c r="I100">
        <v>1</v>
      </c>
      <c r="J100">
        <v>27</v>
      </c>
      <c r="K100">
        <v>7</v>
      </c>
      <c r="L100" t="s">
        <v>29</v>
      </c>
      <c r="M100" t="s">
        <v>743</v>
      </c>
      <c r="N100" t="s">
        <v>65</v>
      </c>
      <c r="O100" t="s">
        <v>119</v>
      </c>
      <c r="P100">
        <v>28</v>
      </c>
      <c r="Q100">
        <v>581</v>
      </c>
      <c r="R100">
        <v>9</v>
      </c>
      <c r="S100" t="s">
        <v>744</v>
      </c>
      <c r="T100" t="s">
        <v>34</v>
      </c>
      <c r="U100" t="s">
        <v>745</v>
      </c>
      <c r="V100" t="s">
        <v>70</v>
      </c>
      <c r="W100" t="s">
        <v>71</v>
      </c>
      <c r="X100" t="s">
        <v>746</v>
      </c>
    </row>
    <row r="101" spans="1:24" x14ac:dyDescent="0.25">
      <c r="A101" t="s">
        <v>24</v>
      </c>
      <c r="B101" t="s">
        <v>747</v>
      </c>
      <c r="C101" t="s">
        <v>748</v>
      </c>
      <c r="D101">
        <v>17</v>
      </c>
      <c r="E101">
        <v>627</v>
      </c>
      <c r="F101" t="s">
        <v>749</v>
      </c>
      <c r="G101" t="s">
        <v>52</v>
      </c>
      <c r="H101">
        <v>55</v>
      </c>
      <c r="I101">
        <v>8</v>
      </c>
      <c r="J101">
        <v>59</v>
      </c>
      <c r="K101">
        <v>6</v>
      </c>
      <c r="L101" t="s">
        <v>29</v>
      </c>
      <c r="M101" t="s">
        <v>750</v>
      </c>
      <c r="N101" t="s">
        <v>118</v>
      </c>
      <c r="O101" t="s">
        <v>119</v>
      </c>
      <c r="P101">
        <v>29</v>
      </c>
      <c r="Q101">
        <v>921</v>
      </c>
      <c r="R101">
        <v>2</v>
      </c>
      <c r="S101" t="s">
        <v>751</v>
      </c>
      <c r="T101" t="s">
        <v>68</v>
      </c>
      <c r="U101" t="s">
        <v>752</v>
      </c>
      <c r="V101" t="s">
        <v>70</v>
      </c>
      <c r="W101" t="s">
        <v>37</v>
      </c>
      <c r="X101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Pivot</vt:lpstr>
      <vt:lpstr>Master</vt:lpstr>
      <vt:lpstr>Master!supply_chain_data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Sandile</dc:creator>
  <cp:lastModifiedBy>Sandile</cp:lastModifiedBy>
  <dcterms:created xsi:type="dcterms:W3CDTF">2026-04-09T07:04:11Z</dcterms:created>
  <dcterms:modified xsi:type="dcterms:W3CDTF">2026-04-12T11:04:19Z</dcterms:modified>
</cp:coreProperties>
</file>