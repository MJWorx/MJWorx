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icrosoft Excel\Projects\Office_Equipment_Data\"/>
    </mc:Choice>
  </mc:AlternateContent>
  <bookViews>
    <workbookView xWindow="0" yWindow="0" windowWidth="28800" windowHeight="12300" tabRatio="788" firstSheet="6" activeTab="6"/>
  </bookViews>
  <sheets>
    <sheet name="Patterns" sheetId="1" state="hidden" r:id="rId1"/>
    <sheet name="Sum" sheetId="2" state="hidden" r:id="rId2"/>
    <sheet name="Chart" sheetId="3" state="hidden" r:id="rId3"/>
    <sheet name="Filter" sheetId="4" state="hidden" r:id="rId4"/>
    <sheet name="Lookup" sheetId="5" state="hidden" r:id="rId5"/>
    <sheet name="Assumptions" sheetId="6" state="hidden" r:id="rId6"/>
    <sheet name="Pivots" sheetId="19" r:id="rId7"/>
    <sheet name="Data" sheetId="12" r:id="rId8"/>
    <sheet name="Sheet1" sheetId="17" state="hidden" r:id="rId9"/>
    <sheet name="Sheet2" sheetId="18" state="hidden" r:id="rId10"/>
    <sheet name="Pivot" sheetId="14" state="hidden" r:id="rId11"/>
    <sheet name="AdvFilter" sheetId="15" state="hidden" r:id="rId12"/>
    <sheet name="Tables" sheetId="16" state="hidden" r:id="rId13"/>
  </sheets>
  <calcPr calcId="191029"/>
  <pivotCaches>
    <pivotCache cacheId="0" r:id="rId14"/>
    <pivotCache cacheId="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7" l="1"/>
  <c r="F9" i="17"/>
  <c r="F8" i="17"/>
  <c r="F7" i="17"/>
  <c r="F6" i="17"/>
  <c r="F5" i="17"/>
  <c r="F4" i="17"/>
  <c r="F3" i="17"/>
  <c r="F2" i="17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C4" i="5"/>
  <c r="C5" i="5"/>
  <c r="C6" i="5"/>
  <c r="C7" i="5"/>
  <c r="C3" i="5"/>
  <c r="C2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<sst xmlns="http://schemas.openxmlformats.org/spreadsheetml/2006/main" count="928" uniqueCount="273">
  <si>
    <t>Date</t>
  </si>
  <si>
    <t>Weekdays</t>
  </si>
  <si>
    <t>Number</t>
  </si>
  <si>
    <t>Formula Parts</t>
  </si>
  <si>
    <t>Countries</t>
  </si>
  <si>
    <t>Jan</t>
  </si>
  <si>
    <t>Feb</t>
  </si>
  <si>
    <t>Mar</t>
  </si>
  <si>
    <t>Apr</t>
  </si>
  <si>
    <t>May</t>
  </si>
  <si>
    <t>Jun</t>
  </si>
  <si>
    <t>Total</t>
  </si>
  <si>
    <t>Usa</t>
  </si>
  <si>
    <t>China</t>
  </si>
  <si>
    <t>Greece</t>
  </si>
  <si>
    <t>France</t>
  </si>
  <si>
    <t>Revenue</t>
  </si>
  <si>
    <t>Expense</t>
  </si>
  <si>
    <t>P&amp;L</t>
  </si>
  <si>
    <t>Shipped Date</t>
  </si>
  <si>
    <t>Payment Type</t>
  </si>
  <si>
    <t>Unit Price</t>
  </si>
  <si>
    <t>Quantity</t>
  </si>
  <si>
    <t>Shipping Fee</t>
  </si>
  <si>
    <t>Check</t>
  </si>
  <si>
    <t>Credit Card</t>
  </si>
  <si>
    <t>Cash</t>
  </si>
  <si>
    <t>Jim Smith</t>
  </si>
  <si>
    <t>Jon Fist</t>
  </si>
  <si>
    <t>Mary Lesly</t>
  </si>
  <si>
    <t>Peter Edwi</t>
  </si>
  <si>
    <t>Liz Andersen</t>
  </si>
  <si>
    <t>Andrew Kil</t>
  </si>
  <si>
    <t>Vanzel Kats</t>
  </si>
  <si>
    <t>Anna Bedi</t>
  </si>
  <si>
    <t>Dora Pil</t>
  </si>
  <si>
    <t>Ship to</t>
  </si>
  <si>
    <t>Description</t>
  </si>
  <si>
    <t>Score</t>
  </si>
  <si>
    <t>Rating</t>
  </si>
  <si>
    <t>Text 1</t>
  </si>
  <si>
    <t>Text 2</t>
  </si>
  <si>
    <t>Test</t>
  </si>
  <si>
    <t>Strategy</t>
  </si>
  <si>
    <t>Marketing</t>
  </si>
  <si>
    <t>Finance</t>
  </si>
  <si>
    <t>Sales</t>
  </si>
  <si>
    <t>Operations</t>
  </si>
  <si>
    <t>Advertising</t>
  </si>
  <si>
    <t>Rated</t>
  </si>
  <si>
    <t>Poor</t>
  </si>
  <si>
    <t>Average</t>
  </si>
  <si>
    <t>Good</t>
  </si>
  <si>
    <t>(All)</t>
  </si>
  <si>
    <t>Row Labels</t>
  </si>
  <si>
    <t>Sum of Quantity</t>
  </si>
  <si>
    <t>Sum of Revenue</t>
  </si>
  <si>
    <t>Grand Total</t>
  </si>
  <si>
    <t>Paid</t>
  </si>
  <si>
    <t>Paper</t>
  </si>
  <si>
    <t>OrderDate</t>
  </si>
  <si>
    <t>Region</t>
  </si>
  <si>
    <t>Country</t>
  </si>
  <si>
    <t>Customer</t>
  </si>
  <si>
    <t>Item</t>
  </si>
  <si>
    <t>Unit Cost</t>
  </si>
  <si>
    <t>East</t>
  </si>
  <si>
    <t>Japan</t>
  </si>
  <si>
    <t>Jones</t>
  </si>
  <si>
    <t>Pencil</t>
  </si>
  <si>
    <t>Central</t>
  </si>
  <si>
    <t>Kivell</t>
  </si>
  <si>
    <t>Binder</t>
  </si>
  <si>
    <t>Jardine</t>
  </si>
  <si>
    <t>Germany</t>
  </si>
  <si>
    <t>Gill</t>
  </si>
  <si>
    <t>Pen</t>
  </si>
  <si>
    <t>West</t>
  </si>
  <si>
    <t>USA</t>
  </si>
  <si>
    <t>Sorvino</t>
  </si>
  <si>
    <t>Andrews</t>
  </si>
  <si>
    <t>Thompson</t>
  </si>
  <si>
    <t>Morgan</t>
  </si>
  <si>
    <t>Hong Kong</t>
  </si>
  <si>
    <t>Howard</t>
  </si>
  <si>
    <t>Parent</t>
  </si>
  <si>
    <t>Smith</t>
  </si>
  <si>
    <t>Desk</t>
  </si>
  <si>
    <t>Pen Set</t>
  </si>
  <si>
    <t>Blanco</t>
  </si>
  <si>
    <t>Highlighter</t>
  </si>
  <si>
    <t>2021</t>
  </si>
  <si>
    <t>2022</t>
  </si>
  <si>
    <t>Northeast</t>
  </si>
  <si>
    <t>Southeast</t>
  </si>
  <si>
    <t>Midwest</t>
  </si>
  <si>
    <t>Northwest</t>
  </si>
  <si>
    <t>Southwest</t>
  </si>
  <si>
    <t>Biro</t>
  </si>
  <si>
    <t>Product1</t>
  </si>
  <si>
    <t>Product9</t>
  </si>
  <si>
    <t>Product5</t>
  </si>
  <si>
    <t>Product2</t>
  </si>
  <si>
    <t>Product4</t>
  </si>
  <si>
    <t>Product6</t>
  </si>
  <si>
    <t>Product8</t>
  </si>
  <si>
    <t>Product7</t>
  </si>
  <si>
    <t>Product3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</si>
  <si>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</si>
  <si>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</si>
  <si>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</si>
  <si>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</si>
  <si>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</si>
  <si>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</si>
  <si>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</si>
  <si>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</si>
  <si>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</si>
  <si>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</si>
  <si>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</si>
  <si>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</si>
  <si>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</si>
  <si>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</si>
  <si>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</si>
  <si>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</si>
  <si>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</si>
  <si>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</si>
  <si>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</si>
  <si>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</si>
  <si>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</si>
  <si>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</si>
  <si>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</si>
  <si>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</si>
  <si>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</si>
  <si>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</si>
  <si>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</si>
  <si>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</si>
  <si>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</si>
  <si>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</si>
  <si>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</si>
  <si>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</si>
  <si>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</si>
  <si>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</si>
  <si>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</si>
  <si>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Product45</t>
  </si>
  <si>
    <t>Product46</t>
  </si>
  <si>
    <t>Product47</t>
  </si>
  <si>
    <t>Product48</t>
  </si>
  <si>
    <t>Product49</t>
  </si>
  <si>
    <t>Product50</t>
  </si>
  <si>
    <t>Product51</t>
  </si>
  <si>
    <t>Product52</t>
  </si>
  <si>
    <t>Product53</t>
  </si>
  <si>
    <t>Product54</t>
  </si>
  <si>
    <t>Product55</t>
  </si>
  <si>
    <t>Product56</t>
  </si>
  <si>
    <t>Product57</t>
  </si>
  <si>
    <t>Product58</t>
  </si>
  <si>
    <t>Product59</t>
  </si>
  <si>
    <t>Product60</t>
  </si>
  <si>
    <t>Product61</t>
  </si>
  <si>
    <t>Product62</t>
  </si>
  <si>
    <t>Product63</t>
  </si>
  <si>
    <t>Product64</t>
  </si>
  <si>
    <t>Product</t>
  </si>
  <si>
    <t>Category1</t>
  </si>
  <si>
    <t>Category5</t>
  </si>
  <si>
    <t>Category2</t>
  </si>
  <si>
    <t>Category4</t>
  </si>
  <si>
    <t>Category3</t>
  </si>
  <si>
    <t>Category</t>
  </si>
  <si>
    <t>Product ID</t>
  </si>
  <si>
    <t>P001</t>
  </si>
  <si>
    <t>P002</t>
  </si>
  <si>
    <t>P004</t>
  </si>
  <si>
    <t>P005</t>
  </si>
  <si>
    <t>P006</t>
  </si>
  <si>
    <t>P009</t>
  </si>
  <si>
    <t>P010</t>
  </si>
  <si>
    <t>P011</t>
  </si>
  <si>
    <t>P003</t>
  </si>
  <si>
    <t>P007</t>
  </si>
  <si>
    <t>P008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</si>
  <si>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</si>
  <si>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</si>
  <si>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</si>
  <si>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</si>
  <si>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</si>
  <si>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</si>
  <si>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</si>
  <si>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</si>
  <si>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</si>
  <si>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</si>
  <si>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</si>
  <si>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</si>
  <si>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</si>
  <si>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</si>
  <si>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</si>
  <si>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</si>
  <si>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</si>
  <si>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</si>
  <si>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</si>
  <si>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</si>
  <si>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</si>
  <si>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</si>
  <si>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</si>
  <si>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</si>
  <si>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</si>
  <si>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</si>
  <si>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</si>
  <si>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</si>
  <si>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</si>
  <si>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</si>
  <si>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</si>
  <si>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</si>
  <si>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</si>
  <si>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</si>
  <si>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</si>
  <si>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</si>
  <si>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</si>
  <si>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</si>
  <si>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</si>
  <si>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</si>
  <si>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</si>
  <si>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</si>
  <si>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</si>
  <si>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</si>
  <si>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</si>
  <si>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</si>
  <si>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</si>
  <si>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</si>
  <si>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</si>
  <si>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</si>
  <si>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</si>
  <si>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</si>
  <si>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</si>
  <si>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No</t>
  </si>
  <si>
    <t>Online</t>
  </si>
  <si>
    <t>Buying Price</t>
  </si>
  <si>
    <t>Kg</t>
  </si>
  <si>
    <t>Lt</t>
  </si>
  <si>
    <t>Ft</t>
  </si>
  <si>
    <t>Um</t>
  </si>
  <si>
    <t>Discount</t>
  </si>
  <si>
    <t>Selling Price</t>
  </si>
  <si>
    <t>Wholesales</t>
  </si>
  <si>
    <t>Direct Sales</t>
  </si>
  <si>
    <t>Online Sales</t>
  </si>
  <si>
    <t>Sales Type</t>
  </si>
  <si>
    <t>Product Satisfaction</t>
  </si>
  <si>
    <t>Rate</t>
  </si>
  <si>
    <t>Accurate(93%)</t>
  </si>
  <si>
    <t>Amount</t>
  </si>
  <si>
    <t>Actual</t>
  </si>
  <si>
    <t>Real</t>
  </si>
  <si>
    <t>Remark</t>
  </si>
  <si>
    <t>Complete</t>
  </si>
  <si>
    <t>Sales by Quantity</t>
  </si>
  <si>
    <t>by Quantity</t>
  </si>
  <si>
    <t xml:space="preserve">Year by figute </t>
  </si>
  <si>
    <t>Jul</t>
  </si>
  <si>
    <t>Aug</t>
  </si>
  <si>
    <t>Sep</t>
  </si>
  <si>
    <t>Oct</t>
  </si>
  <si>
    <t>Nov</t>
  </si>
  <si>
    <t>Dec</t>
  </si>
  <si>
    <t>Shipment (60%)</t>
  </si>
  <si>
    <t>Customers</t>
  </si>
  <si>
    <t>Quality (90%)</t>
  </si>
  <si>
    <t>Ontime (95%)</t>
  </si>
  <si>
    <t>Service (50%)</t>
  </si>
  <si>
    <t>Sum of Buying Price</t>
  </si>
  <si>
    <t>Sum of Unit Cost</t>
  </si>
  <si>
    <t>Sum of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</si>
</sst>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_-* #,##0_-;\-* #,##0_-;_-* &quot;-&quot;??_-;_-@_-"/>
    <numFmt numFmtId="167" formatCode="&quot;Good&quot;;&quot;Poor&quot;;&quot;Average&quot;"/>
    <numFmt numFmtId="168" formatCode="_-&quot;$&quot;* #,##0.00_-;\-&quot;$&quot;* #,##0.00_-;_-&quot;$&quot;* &quot;-&quot;??_-;_-@_-"/>
    <numFmt numFmtId="169" formatCode="mm/dd/yy;@"/>
    <numFmt numFmtId="170" formatCode="[$€-2]\ #,##0.00;[Red][$€-2]\ #,##0.00"/>
    <numFmt numFmtId="171" formatCode="_-[$€-2]\ * #,##0.00_-;\-[$€-2]\ * #,##0.00_-;_-[$€-2]\ * &quot;-&quot;??_-;_-@_-"/>
    <numFmt numFmtId="172" formatCode="0.0%"/>
    <numFmt numFmtId="173" formatCode="_-[$€-2]\ * #,##0_-;\-[$€-2]\ * #,##0_-;_-[$€-2]\ * &quot;-&quot;??_-;_-@_-"/>
    <numFmt numFmtId="174" formatCode="0.0"/>
  </numFmts>
  <fonts count="15" x14ac:knownFonts="1">
    <font>
      <sz val="10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theme="0"/>
      <name val="Arial"/>
      <family val="2"/>
    </font>
    <font>
      <sz val="12"/>
      <name val="Arial Narrow"/>
      <family val="2"/>
      <charset val="16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164" fontId="6" fillId="0" borderId="0" applyFont="0" applyFill="0" applyBorder="0" applyAlignment="0" applyProtection="0"/>
    <xf numFmtId="0" fontId="8" fillId="0" borderId="0"/>
  </cellStyleXfs>
  <cellXfs count="73">
    <xf numFmtId="0" fontId="0" fillId="0" borderId="0" xfId="0"/>
    <xf numFmtId="14" fontId="0" fillId="0" borderId="0" xfId="0" applyNumberFormat="1"/>
    <xf numFmtId="0" fontId="0" fillId="0" borderId="1" xfId="0" applyBorder="1"/>
    <xf numFmtId="14" fontId="4" fillId="0" borderId="1" xfId="0" applyNumberFormat="1" applyFont="1" applyBorder="1"/>
    <xf numFmtId="3" fontId="0" fillId="0" borderId="1" xfId="1" applyNumberFormat="1" applyFont="1" applyBorder="1"/>
    <xf numFmtId="165" fontId="0" fillId="0" borderId="1" xfId="0" applyNumberFormat="1" applyBorder="1"/>
    <xf numFmtId="166" fontId="2" fillId="0" borderId="1" xfId="1" applyNumberFormat="1" applyFont="1" applyFill="1" applyBorder="1"/>
    <xf numFmtId="167" fontId="0" fillId="0" borderId="1" xfId="0" applyNumberFormat="1" applyBorder="1"/>
    <xf numFmtId="0" fontId="0" fillId="2" borderId="1" xfId="0" applyFill="1" applyBorder="1"/>
    <xf numFmtId="167" fontId="0" fillId="2" borderId="1" xfId="0" applyNumberFormat="1" applyFill="1" applyBorder="1"/>
    <xf numFmtId="0" fontId="0" fillId="0" borderId="0" xfId="0" applyAlignment="1">
      <alignment horizontal="left"/>
    </xf>
    <xf numFmtId="0" fontId="6" fillId="0" borderId="0" xfId="4" applyAlignment="1">
      <alignment vertical="center"/>
    </xf>
    <xf numFmtId="0" fontId="7" fillId="0" borderId="0" xfId="4" applyFont="1" applyAlignment="1">
      <alignment vertical="center"/>
    </xf>
    <xf numFmtId="0" fontId="7" fillId="0" borderId="0" xfId="4" applyFont="1" applyAlignment="1" applyProtection="1">
      <alignment vertical="center"/>
      <protection locked="0"/>
    </xf>
    <xf numFmtId="0" fontId="7" fillId="0" borderId="1" xfId="7" applyBorder="1" applyAlignment="1">
      <alignment vertical="center"/>
    </xf>
    <xf numFmtId="0" fontId="7" fillId="0" borderId="1" xfId="4" applyFont="1" applyBorder="1" applyAlignment="1">
      <alignment vertical="center"/>
    </xf>
    <xf numFmtId="0" fontId="7" fillId="0" borderId="1" xfId="5" applyBorder="1" applyAlignment="1">
      <alignment horizontal="left" vertical="center"/>
    </xf>
    <xf numFmtId="0" fontId="7" fillId="0" borderId="1" xfId="4" applyFont="1" applyBorder="1" applyAlignment="1" applyProtection="1">
      <alignment vertical="center"/>
      <protection locked="0"/>
    </xf>
    <xf numFmtId="0" fontId="0" fillId="0" borderId="0" xfId="0" pivotButton="1"/>
    <xf numFmtId="0" fontId="6" fillId="0" borderId="1" xfId="4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1" fontId="5" fillId="3" borderId="1" xfId="4" applyNumberFormat="1" applyFont="1" applyFill="1" applyBorder="1" applyAlignment="1">
      <alignment horizontal="left" vertical="center"/>
    </xf>
    <xf numFmtId="0" fontId="5" fillId="3" borderId="1" xfId="5" applyFont="1" applyFill="1" applyBorder="1" applyAlignment="1">
      <alignment horizontal="left" vertical="center"/>
    </xf>
    <xf numFmtId="0" fontId="5" fillId="3" borderId="1" xfId="6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>
      <alignment vertical="center"/>
    </xf>
    <xf numFmtId="0" fontId="9" fillId="0" borderId="1" xfId="9" applyFont="1" applyBorder="1"/>
    <xf numFmtId="0" fontId="8" fillId="0" borderId="0" xfId="9"/>
    <xf numFmtId="0" fontId="8" fillId="0" borderId="1" xfId="9" applyBorder="1"/>
    <xf numFmtId="1" fontId="10" fillId="3" borderId="0" xfId="4" applyNumberFormat="1" applyFont="1" applyFill="1" applyAlignment="1">
      <alignment horizontal="left" vertical="center"/>
    </xf>
    <xf numFmtId="0" fontId="10" fillId="3" borderId="0" xfId="5" applyFont="1" applyFill="1" applyAlignment="1">
      <alignment horizontal="left" vertical="center"/>
    </xf>
    <xf numFmtId="0" fontId="10" fillId="3" borderId="0" xfId="6" applyFont="1" applyFill="1" applyBorder="1" applyAlignment="1" applyProtection="1">
      <alignment horizontal="left" vertical="center"/>
      <protection locked="0"/>
    </xf>
    <xf numFmtId="0" fontId="10" fillId="3" borderId="0" xfId="6" applyFont="1" applyFill="1" applyBorder="1" applyAlignment="1" applyProtection="1">
      <alignment horizontal="left" vertical="center"/>
    </xf>
    <xf numFmtId="0" fontId="11" fillId="0" borderId="0" xfId="7" applyFont="1" applyAlignment="1">
      <alignment vertical="center"/>
    </xf>
    <xf numFmtId="0" fontId="11" fillId="0" borderId="0" xfId="4" applyFont="1" applyAlignment="1">
      <alignment vertical="center"/>
    </xf>
    <xf numFmtId="0" fontId="11" fillId="0" borderId="0" xfId="5" applyFont="1" applyAlignment="1">
      <alignment horizontal="left" vertical="center"/>
    </xf>
    <xf numFmtId="0" fontId="11" fillId="0" borderId="0" xfId="4" applyFont="1" applyAlignment="1" applyProtection="1">
      <alignment vertical="center"/>
      <protection locked="0"/>
    </xf>
    <xf numFmtId="164" fontId="11" fillId="0" borderId="0" xfId="8" applyFont="1" applyFill="1" applyBorder="1" applyAlignment="1" applyProtection="1">
      <alignment horizontal="left" vertical="center"/>
    </xf>
    <xf numFmtId="164" fontId="11" fillId="0" borderId="0" xfId="8" applyFont="1" applyBorder="1" applyAlignment="1" applyProtection="1">
      <alignment vertical="center"/>
    </xf>
    <xf numFmtId="0" fontId="12" fillId="0" borderId="0" xfId="0" applyFont="1"/>
    <xf numFmtId="14" fontId="5" fillId="3" borderId="1" xfId="4" applyNumberFormat="1" applyFont="1" applyFill="1" applyBorder="1" applyAlignment="1">
      <alignment horizontal="center" vertical="center"/>
    </xf>
    <xf numFmtId="14" fontId="7" fillId="0" borderId="1" xfId="4" applyNumberFormat="1" applyFont="1" applyBorder="1" applyAlignment="1">
      <alignment vertical="center"/>
    </xf>
    <xf numFmtId="170" fontId="5" fillId="3" borderId="1" xfId="6" applyNumberFormat="1" applyFont="1" applyFill="1" applyBorder="1" applyAlignment="1" applyProtection="1">
      <alignment horizontal="left" vertical="center"/>
    </xf>
    <xf numFmtId="170" fontId="7" fillId="0" borderId="1" xfId="8" applyNumberFormat="1" applyFont="1" applyFill="1" applyBorder="1" applyAlignment="1" applyProtection="1">
      <alignment horizontal="left" vertical="center"/>
    </xf>
    <xf numFmtId="170" fontId="5" fillId="3" borderId="2" xfId="6" applyNumberFormat="1" applyFont="1" applyFill="1" applyBorder="1" applyAlignment="1" applyProtection="1">
      <alignment horizontal="left" vertical="center"/>
    </xf>
    <xf numFmtId="170" fontId="7" fillId="0" borderId="2" xfId="8" applyNumberFormat="1" applyFont="1" applyBorder="1" applyAlignment="1" applyProtection="1">
      <alignment vertical="center"/>
    </xf>
    <xf numFmtId="0" fontId="5" fillId="3" borderId="2" xfId="6" applyFont="1" applyFill="1" applyBorder="1" applyAlignment="1" applyProtection="1">
      <alignment horizontal="left" vertical="center"/>
    </xf>
    <xf numFmtId="0" fontId="6" fillId="0" borderId="2" xfId="4" applyBorder="1" applyAlignment="1">
      <alignment vertical="center"/>
    </xf>
    <xf numFmtId="171" fontId="5" fillId="3" borderId="2" xfId="6" applyNumberFormat="1" applyFont="1" applyFill="1" applyBorder="1" applyAlignment="1" applyProtection="1">
      <alignment horizontal="left" vertical="center"/>
    </xf>
    <xf numFmtId="171" fontId="14" fillId="0" borderId="1" xfId="0" applyNumberFormat="1" applyFont="1" applyBorder="1"/>
    <xf numFmtId="172" fontId="6" fillId="0" borderId="1" xfId="4" applyNumberFormat="1" applyBorder="1" applyAlignment="1">
      <alignment vertical="center"/>
    </xf>
    <xf numFmtId="171" fontId="0" fillId="0" borderId="0" xfId="0" applyNumberFormat="1"/>
    <xf numFmtId="171" fontId="14" fillId="0" borderId="2" xfId="0" applyNumberFormat="1" applyFont="1" applyBorder="1"/>
    <xf numFmtId="171" fontId="6" fillId="0" borderId="2" xfId="4" applyNumberFormat="1" applyBorder="1" applyAlignment="1">
      <alignment vertical="center"/>
    </xf>
    <xf numFmtId="0" fontId="10" fillId="3" borderId="4" xfId="5" applyFont="1" applyFill="1" applyBorder="1" applyAlignment="1">
      <alignment horizontal="left" vertical="center"/>
    </xf>
    <xf numFmtId="0" fontId="11" fillId="4" borderId="4" xfId="5" applyFont="1" applyFill="1" applyBorder="1" applyAlignment="1">
      <alignment horizontal="left" vertical="center"/>
    </xf>
    <xf numFmtId="0" fontId="11" fillId="0" borderId="4" xfId="5" applyFont="1" applyBorder="1" applyAlignment="1">
      <alignment horizontal="left" vertical="center"/>
    </xf>
    <xf numFmtId="9" fontId="0" fillId="0" borderId="0" xfId="0" applyNumberFormat="1" applyAlignment="1">
      <alignment horizontal="center"/>
    </xf>
    <xf numFmtId="173" fontId="14" fillId="0" borderId="2" xfId="0" applyNumberFormat="1" applyFont="1" applyBorder="1"/>
    <xf numFmtId="0" fontId="11" fillId="0" borderId="3" xfId="4" applyFont="1" applyBorder="1" applyAlignment="1">
      <alignment vertical="center"/>
    </xf>
    <xf numFmtId="0" fontId="11" fillId="4" borderId="3" xfId="7" applyFont="1" applyFill="1" applyBorder="1" applyAlignment="1">
      <alignment vertical="center"/>
    </xf>
    <xf numFmtId="0" fontId="11" fillId="0" borderId="3" xfId="7" applyFont="1" applyBorder="1" applyAlignment="1">
      <alignment vertical="center"/>
    </xf>
    <xf numFmtId="0" fontId="11" fillId="4" borderId="3" xfId="4" applyFont="1" applyFill="1" applyBorder="1" applyAlignment="1">
      <alignment vertical="center"/>
    </xf>
    <xf numFmtId="0" fontId="11" fillId="4" borderId="4" xfId="4" applyFont="1" applyFill="1" applyBorder="1" applyAlignment="1">
      <alignment vertical="center"/>
    </xf>
    <xf numFmtId="0" fontId="11" fillId="0" borderId="4" xfId="4" applyFont="1" applyBorder="1" applyAlignment="1">
      <alignment vertical="center"/>
    </xf>
    <xf numFmtId="0" fontId="10" fillId="3" borderId="4" xfId="5" applyFont="1" applyFill="1" applyBorder="1" applyAlignment="1">
      <alignment vertical="center"/>
    </xf>
    <xf numFmtId="174" fontId="0" fillId="0" borderId="0" xfId="0" applyNumberFormat="1"/>
    <xf numFmtId="0" fontId="11" fillId="0" borderId="4" xfId="7" applyFont="1" applyBorder="1" applyAlignment="1">
      <alignment vertical="center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10">
    <cellStyle name="Comma" xfId="1" builtinId="3"/>
    <cellStyle name="Comma 2" xfId="2"/>
    <cellStyle name="Comma 3" xfId="8"/>
    <cellStyle name="Currency 2" xfId="3"/>
    <cellStyle name="Currency_TapePivot" xfId="6"/>
    <cellStyle name="Normal" xfId="0" builtinId="0"/>
    <cellStyle name="Normal 2" xfId="4"/>
    <cellStyle name="Normal 3" xfId="9"/>
    <cellStyle name="Normal_Sheet1" xfId="7"/>
    <cellStyle name="Normal_TapePivot" xfId="5"/>
  </cellStyles>
  <dxfs count="7"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[Office_Equipment_Data_Pivot_Charts.xlsx]Pivots!PivotTable1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Pivots!$A$4:$A$9</c:f>
              <c:strCache>
                <c:ptCount val="5"/>
                <c:pt idx="0">
                  <c:v>Category1</c:v>
                </c:pt>
                <c:pt idx="1">
                  <c:v>Category2</c:v>
                </c:pt>
                <c:pt idx="2">
                  <c:v>Category3</c:v>
                </c:pt>
                <c:pt idx="3">
                  <c:v>Category4</c:v>
                </c:pt>
                <c:pt idx="4">
                  <c:v>Category5</c:v>
                </c:pt>
              </c:strCache>
            </c:strRef>
          </c:cat>
          <c:val>
            <c:numRef>
              <c:f>Pivots!$B$4:$B$9</c:f>
              <c:numCache>
                <c:formatCode>General</c:formatCode>
                <c:ptCount val="5"/>
                <c:pt idx="0">
                  <c:v>7250.14</c:v>
                </c:pt>
                <c:pt idx="1">
                  <c:v>5791.88</c:v>
                </c:pt>
                <c:pt idx="2">
                  <c:v>7548.18</c:v>
                </c:pt>
                <c:pt idx="3">
                  <c:v>4493.7299999999996</c:v>
                </c:pt>
                <c:pt idx="4">
                  <c:v>3810.8299999999995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C-4BBC-A42E-152CB26C9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8558368"/>
        <c:axId val="1548558784"/>
      </c:barChart>
      <c:catAx>
        <c:axId val="15485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58784"/>
        <c:crosses val="autoZero"/>
        <c:auto val="1"/>
        <c:lblAlgn val="ctr"/>
        <c:lblOffset val="100"/>
        <c:noMultiLvlLbl val="0"/>
      </c:catAx>
      <c:valAx>
        <c:axId val="15485587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855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[Office_Equipment_Data_Pivot_Charts.xlsx]Pivots!PivotTable2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Quantity Per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Pivots!$A$13:$A$20</c:f>
              <c:strCache>
                <c:ptCount val="7"/>
                <c:pt idx="0">
                  <c:v>China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Hong Kong</c:v>
                </c:pt>
                <c:pt idx="5">
                  <c:v>Japan</c:v>
                </c:pt>
                <c:pt idx="6">
                  <c:v>USA</c:v>
                </c:pt>
              </c:strCache>
            </c:strRef>
          </c:cat>
          <c:val>
            <c:numRef>
              <c:f>Pivots!$B$13:$B$20</c:f>
              <c:numCache>
                <c:formatCode>General</c:formatCode>
                <c:ptCount val="7"/>
                <c:pt idx="0">
                  <c:v>530</c:v>
                </c:pt>
                <c:pt idx="1">
                  <c:v>459</c:v>
                </c:pt>
                <c:pt idx="2">
                  <c:v>564</c:v>
                </c:pt>
                <c:pt idx="3">
                  <c:v>547</c:v>
                </c:pt>
                <c:pt idx="4">
                  <c:v>336</c:v>
                </c:pt>
                <c:pt idx="5">
                  <c:v>251</c:v>
                </c:pt>
                <c:pt idx="6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7-4A0D-8253-EBA43EDF47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9974000"/>
        <c:axId val="1649972336"/>
      </c:barChart>
      <c:catAx>
        <c:axId val="164997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72336"/>
        <c:crosses val="autoZero"/>
        <c:auto val="1"/>
        <c:lblAlgn val="ctr"/>
        <c:lblOffset val="100"/>
        <c:noMultiLvlLbl val="0"/>
      </c:catAx>
      <c:valAx>
        <c:axId val="164997233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4997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[Office_Equipment_Data_Pivot_Charts.xlsx]Pivots!PivotTable3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Unit Cost of Sales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26328484981044037"/>
          <c:w val="0.75010629921259842"/>
          <c:h val="0.68578922426363376"/>
        </c:manualLayout>
      </c:layout>
      <c:pie3DChart>
        <c:varyColors val="1"/>
        <c:ser>
          <c:idx val="0"/>
          <c:order val="0"/>
          <c:tx>
            <c:strRef>
              <c:f>Pivots!$B$23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Pivots!$A$24:$A$27</c:f>
              <c:strCache>
                <c:ptCount val="3"/>
                <c:pt idx="0">
                  <c:v>Direct Sales</c:v>
                </c:pt>
                <c:pt idx="1">
                  <c:v>Online Sales</c:v>
                </c:pt>
                <c:pt idx="2">
                  <c:v>Wholesales</c:v>
                </c:pt>
              </c:strCache>
            </c:strRef>
          </c:cat>
          <c:val>
            <c:numRef>
              <c:f>Pivots!$B$24:$B$27</c:f>
              <c:numCache>
                <c:formatCode>General</c:formatCode>
                <c:ptCount val="3"/>
                <c:pt idx="0">
                  <c:v>499.63000000000017</c:v>
                </c:pt>
                <c:pt idx="1">
                  <c:v>371.40000000000009</c:v>
                </c:pt>
                <c:pt idx="2">
                  <c:v>297.11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1-4BFC-B07C-FB6E7B061B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43963254593172"/>
          <c:y val="0.70021799358413528"/>
          <c:w val="0.20267147856517931"/>
          <c:h val="0.237848862642169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[Office_Equipment_Data_Pivot_Charts.xlsx]Pivots!PivotTable4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Selling Price Per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Pivots!$B$30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Pivots!$A$31:$A$57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Pivots!$B$31:$B$57</c:f>
              <c:numCache>
                <c:formatCode>General</c:formatCode>
                <c:ptCount val="24"/>
                <c:pt idx="0">
                  <c:v>83</c:v>
                </c:pt>
                <c:pt idx="1">
                  <c:v>95</c:v>
                </c:pt>
                <c:pt idx="2">
                  <c:v>164</c:v>
                </c:pt>
                <c:pt idx="3">
                  <c:v>137</c:v>
                </c:pt>
                <c:pt idx="4">
                  <c:v>121</c:v>
                </c:pt>
                <c:pt idx="5">
                  <c:v>64</c:v>
                </c:pt>
                <c:pt idx="6">
                  <c:v>169</c:v>
                </c:pt>
                <c:pt idx="7">
                  <c:v>121</c:v>
                </c:pt>
                <c:pt idx="8">
                  <c:v>143</c:v>
                </c:pt>
                <c:pt idx="9">
                  <c:v>143</c:v>
                </c:pt>
                <c:pt idx="10">
                  <c:v>67</c:v>
                </c:pt>
                <c:pt idx="11">
                  <c:v>121</c:v>
                </c:pt>
                <c:pt idx="12">
                  <c:v>223</c:v>
                </c:pt>
                <c:pt idx="13">
                  <c:v>283</c:v>
                </c:pt>
                <c:pt idx="14">
                  <c:v>195</c:v>
                </c:pt>
                <c:pt idx="15">
                  <c:v>242</c:v>
                </c:pt>
                <c:pt idx="16">
                  <c:v>289</c:v>
                </c:pt>
                <c:pt idx="17">
                  <c:v>225</c:v>
                </c:pt>
                <c:pt idx="18">
                  <c:v>265</c:v>
                </c:pt>
                <c:pt idx="19">
                  <c:v>192</c:v>
                </c:pt>
                <c:pt idx="20">
                  <c:v>313</c:v>
                </c:pt>
                <c:pt idx="21">
                  <c:v>271</c:v>
                </c:pt>
                <c:pt idx="22">
                  <c:v>190</c:v>
                </c:pt>
                <c:pt idx="23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D-466C-845E-33BEB53EB6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9475552"/>
        <c:axId val="1659475968"/>
      </c:lineChart>
      <c:catAx>
        <c:axId val="165947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75968"/>
        <c:crosses val="autoZero"/>
        <c:auto val="1"/>
        <c:lblAlgn val="ctr"/>
        <c:lblOffset val="100"/>
        <c:noMultiLvlLbl val="0"/>
      </c:catAx>
      <c:valAx>
        <c:axId val="16594759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947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[Office_Equipment_Data_Pivot_Charts.xlsx]Pivots!PivotTable5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Items Total Buying 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4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>
                  <a:shade val="7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4">
                  <a:tint val="7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4">
                  <a:tint val="4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Pivots!$A$61:$A$70</c:f>
              <c:strCache>
                <c:ptCount val="9"/>
                <c:pt idx="0">
                  <c:v>Binder</c:v>
                </c:pt>
                <c:pt idx="1">
                  <c:v>Biro</c:v>
                </c:pt>
                <c:pt idx="2">
                  <c:v>Blanco</c:v>
                </c:pt>
                <c:pt idx="3">
                  <c:v>Desk</c:v>
                </c:pt>
                <c:pt idx="4">
                  <c:v>Highlighter</c:v>
                </c:pt>
                <c:pt idx="5">
                  <c:v>Paper</c:v>
                </c:pt>
                <c:pt idx="6">
                  <c:v>Pen</c:v>
                </c:pt>
                <c:pt idx="7">
                  <c:v>Pen Set</c:v>
                </c:pt>
                <c:pt idx="8">
                  <c:v>Pencil</c:v>
                </c:pt>
              </c:strCache>
            </c:strRef>
          </c:cat>
          <c:val>
            <c:numRef>
              <c:f>Pivots!$B$61:$B$70</c:f>
              <c:numCache>
                <c:formatCode>General</c:formatCode>
                <c:ptCount val="9"/>
                <c:pt idx="0">
                  <c:v>538</c:v>
                </c:pt>
                <c:pt idx="1">
                  <c:v>32</c:v>
                </c:pt>
                <c:pt idx="2">
                  <c:v>189</c:v>
                </c:pt>
                <c:pt idx="3">
                  <c:v>115</c:v>
                </c:pt>
                <c:pt idx="4">
                  <c:v>190</c:v>
                </c:pt>
                <c:pt idx="5">
                  <c:v>192</c:v>
                </c:pt>
                <c:pt idx="6">
                  <c:v>237</c:v>
                </c:pt>
                <c:pt idx="7">
                  <c:v>222</c:v>
                </c:pt>
                <c:pt idx="8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6-460A-90F6-84B1586D90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Products Satisfaction</a:t>
            </a:r>
          </a:p>
        </c:rich>
      </c:tx>
      <c:layout>
        <c:manualLayout>
          <c:xMode val="edge"/>
          <c:yMode val="edge"/>
          <c:x val="0.2657182479849593"/>
          <c:y val="5.6778092913762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Sheet1!$J$1</c:f>
              <c:strCache>
                <c:ptCount val="1"/>
                <c:pt idx="0">
                  <c:v>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94-48D1-A5A1-B9335A4B30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94-48D1-A5A1-B9335A4B30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94-48D1-A5A1-B9335A4B30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94-48D1-A5A1-B9335A4B30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94-48D1-A5A1-B9335A4B30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Sheet1!$I$2:$I$6</c:f>
              <c:strCache>
                <c:ptCount val="5"/>
                <c:pt idx="0">
                  <c:v>Shipment (60%)</c:v>
                </c:pt>
                <c:pt idx="1">
                  <c:v>Quality (90%)</c:v>
                </c:pt>
                <c:pt idx="2">
                  <c:v>Ontime (95%)</c:v>
                </c:pt>
                <c:pt idx="3">
                  <c:v>Service (50%)</c:v>
                </c:pt>
                <c:pt idx="4">
                  <c:v>Accurate(93%)</c:v>
                </c:pt>
              </c:strCache>
            </c:strRef>
          </c:cat>
          <c:val>
            <c:numRef>
              <c:f>Sheet1!$J$2:$J$6</c:f>
              <c:numCache>
                <c:formatCode>0%</c:formatCode>
                <c:ptCount val="5"/>
                <c:pt idx="0">
                  <c:v>0.6</c:v>
                </c:pt>
                <c:pt idx="1">
                  <c:v>0.9</c:v>
                </c:pt>
                <c:pt idx="2">
                  <c:v>0.95</c:v>
                </c:pt>
                <c:pt idx="3">
                  <c:v>0.5</c:v>
                </c:pt>
                <c:pt idx="4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5-49C4-8D55-9076C920BA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881982597834434E-2"/>
          <c:y val="0.22270123293963695"/>
          <c:w val="0.91718625605882864"/>
          <c:h val="0.45671491466539238"/>
        </c:manualLayout>
      </c:layout>
      <c:lineChart>
        <c:grouping val="standard"/>
        <c:varyColors val="0"/>
        <c:ser>
          <c:idx val="0"/>
          <c:order val="0"/>
          <c:tx>
            <c:strRef>
              <c:f>Sheet1!$M$16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Sheet1!$L$17:$L$28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Sheet1!$M$17:$M$28</c:f>
              <c:numCache>
                <c:formatCode>0.0</c:formatCode>
                <c:ptCount val="12"/>
                <c:pt idx="0">
                  <c:v>189.05</c:v>
                </c:pt>
                <c:pt idx="1">
                  <c:v>199.5</c:v>
                </c:pt>
                <c:pt idx="2">
                  <c:v>179.64000000000001</c:v>
                </c:pt>
                <c:pt idx="3">
                  <c:v>159.72999999999999</c:v>
                </c:pt>
                <c:pt idx="4">
                  <c:v>167.44</c:v>
                </c:pt>
                <c:pt idx="5">
                  <c:v>209.4</c:v>
                </c:pt>
                <c:pt idx="6">
                  <c:v>149.25</c:v>
                </c:pt>
                <c:pt idx="7">
                  <c:v>149.1</c:v>
                </c:pt>
                <c:pt idx="8">
                  <c:v>63.68</c:v>
                </c:pt>
                <c:pt idx="9">
                  <c:v>156.4</c:v>
                </c:pt>
                <c:pt idx="10">
                  <c:v>149.1</c:v>
                </c:pt>
                <c:pt idx="11">
                  <c:v>157.71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1-4B66-B089-AD429544FC8C}"/>
            </c:ext>
          </c:extLst>
        </c:ser>
        <c:ser>
          <c:idx val="1"/>
          <c:order val="1"/>
          <c:tx>
            <c:strRef>
              <c:f>Sheet1!$N$16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Sheet1!$L$17:$L$28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Sheet1!$N$17:$N$28</c:f>
              <c:numCache>
                <c:formatCode>0.0</c:formatCode>
                <c:ptCount val="12"/>
                <c:pt idx="0">
                  <c:v>161.19</c:v>
                </c:pt>
                <c:pt idx="1">
                  <c:v>174.65</c:v>
                </c:pt>
                <c:pt idx="2">
                  <c:v>200.55</c:v>
                </c:pt>
                <c:pt idx="3">
                  <c:v>205.84</c:v>
                </c:pt>
                <c:pt idx="4">
                  <c:v>251.72</c:v>
                </c:pt>
                <c:pt idx="5">
                  <c:v>17.36</c:v>
                </c:pt>
                <c:pt idx="6">
                  <c:v>299.84999999999997</c:v>
                </c:pt>
                <c:pt idx="7">
                  <c:v>149.04</c:v>
                </c:pt>
                <c:pt idx="8">
                  <c:v>86.43</c:v>
                </c:pt>
                <c:pt idx="9">
                  <c:v>183.26</c:v>
                </c:pt>
                <c:pt idx="10">
                  <c:v>143.54</c:v>
                </c:pt>
                <c:pt idx="11">
                  <c:v>130.15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1-4B66-B089-AD429544F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547648"/>
        <c:axId val="736542848"/>
      </c:lineChart>
      <c:catAx>
        <c:axId val="73654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542848"/>
        <c:crosses val="autoZero"/>
        <c:auto val="1"/>
        <c:lblAlgn val="ctr"/>
        <c:lblOffset val="100"/>
        <c:noMultiLvlLbl val="0"/>
      </c:catAx>
      <c:valAx>
        <c:axId val="7365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54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cat>
            <c:strRef>
              <c:f>Sheet1!$I$2:$I$6</c:f>
              <c:strCache>
                <c:ptCount val="5"/>
                <c:pt idx="0">
                  <c:v>Shipment (60%)</c:v>
                </c:pt>
                <c:pt idx="1">
                  <c:v>Quality (90%)</c:v>
                </c:pt>
                <c:pt idx="2">
                  <c:v>Ontime (95%)</c:v>
                </c:pt>
                <c:pt idx="3">
                  <c:v>Service (50%)</c:v>
                </c:pt>
                <c:pt idx="4">
                  <c:v>Accurate(93%)</c:v>
                </c:pt>
              </c:strCache>
            </c:strRef>
          </c:cat>
          <c:val>
            <c:numRef>
              <c:f>Sheet1!$J$2:$J$6</c:f>
              <c:numCache>
                <c:formatCode>0%</c:formatCode>
                <c:ptCount val="5"/>
                <c:pt idx="0">
                  <c:v>0.6</c:v>
                </c:pt>
                <c:pt idx="1">
                  <c:v>0.9</c:v>
                </c:pt>
                <c:pt idx="2">
                  <c:v>0.95</c:v>
                </c:pt>
                <c:pt idx="3">
                  <c:v>0.5</c:v>
                </c:pt>
                <c:pt idx="4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6-4690-BB86-00265464E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378159"/>
        <c:axId val="1696367119"/>
      </c:radarChart>
      <c:catAx>
        <c:axId val="16963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367119"/>
        <c:crosses val="autoZero"/>
        <c:auto val="1"/>
        <c:lblAlgn val="ctr"/>
        <c:lblOffset val="100"/>
        <c:noMultiLvlLbl val="0"/>
      </c:catAx>
      <c:valAx>
        <c:axId val="16963671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9637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Amount</a:t>
            </a:r>
            <a:r>
              <a:rPr lang="en-US" baseline="0"/>
              <a:t> by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Sheet1!$M$2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BF-4059-AEEF-BA445D64D24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BF-4059-AEEF-BA445D64D24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BF-4059-AEEF-BA445D64D241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BF-4059-AEEF-BA445D64D2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Sheet1!$L$3:$L$6</c:f>
              <c:strCache>
                <c:ptCount val="4"/>
                <c:pt idx="0">
                  <c:v>Pencil</c:v>
                </c:pt>
                <c:pt idx="1">
                  <c:v>Binder</c:v>
                </c:pt>
                <c:pt idx="2">
                  <c:v>Biro</c:v>
                </c:pt>
                <c:pt idx="3">
                  <c:v>Pen</c:v>
                </c:pt>
              </c:strCache>
            </c:strRef>
          </c:cat>
          <c:val>
            <c:numRef>
              <c:f>Sheet1!$M$3:$M$6</c:f>
              <c:numCache>
                <c:formatCode>_-[$€-2]\ * #\ ##0.00_-;\-[$€-2]\ * #\ ##0.00_-;_-[$€-2]\ * "-"??_-;_-@_-</c:formatCode>
                <c:ptCount val="4"/>
                <c:pt idx="0">
                  <c:v>75</c:v>
                </c:pt>
                <c:pt idx="1">
                  <c:v>62</c:v>
                </c:pt>
                <c:pt idx="2">
                  <c:v>58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BF-4059-AEEF-BA445D64D2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96175679838834"/>
          <c:y val="0.10689990281827016"/>
          <c:w val="0.8680382432016116"/>
          <c:h val="0.66765531859537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Sheet1!$M$9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Sheet1!$L$10:$L$14</c:f>
              <c:strCache>
                <c:ptCount val="5"/>
                <c:pt idx="0">
                  <c:v>Jones</c:v>
                </c:pt>
                <c:pt idx="1">
                  <c:v>Kivell</c:v>
                </c:pt>
                <c:pt idx="2">
                  <c:v>Jardine</c:v>
                </c:pt>
                <c:pt idx="3">
                  <c:v>Gill</c:v>
                </c:pt>
                <c:pt idx="4">
                  <c:v>Sorvino</c:v>
                </c:pt>
              </c:strCache>
            </c:strRef>
          </c:cat>
          <c:val>
            <c:numRef>
              <c:f>Sheet1!$M$10:$M$14</c:f>
              <c:numCache>
                <c:formatCode>General</c:formatCode>
                <c:ptCount val="5"/>
                <c:pt idx="0">
                  <c:v>195</c:v>
                </c:pt>
                <c:pt idx="1">
                  <c:v>150</c:v>
                </c:pt>
                <c:pt idx="2">
                  <c:v>236</c:v>
                </c:pt>
                <c:pt idx="3">
                  <c:v>227</c:v>
                </c:pt>
                <c:pt idx="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1-46F5-B4DC-A054E30961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3"/>
        <c:overlap val="-100"/>
        <c:axId val="1982956735"/>
        <c:axId val="1982955295"/>
      </c:barChart>
      <c:catAx>
        <c:axId val="198295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55295"/>
        <c:crosses val="autoZero"/>
        <c:auto val="1"/>
        <c:lblAlgn val="ctr"/>
        <c:lblOffset val="100"/>
        <c:noMultiLvlLbl val="0"/>
      </c:catAx>
      <c:valAx>
        <c:axId val="19829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5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461962</xdr:colOff>
      <xdr:row>1</xdr:row>
      <xdr:rowOff>114300</xdr:rowOff>
    </xdr:from>
    <xdr:to>
      <xdr:col>10</xdr:col>
      <xdr:colOff>157162</xdr:colOff>
      <xdr:row>18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100012</xdr:colOff>
      <xdr:row>1</xdr:row>
      <xdr:rowOff>76200</xdr:rowOff>
    </xdr:from>
    <xdr:to>
      <xdr:col>18</xdr:col>
      <xdr:colOff>404812</xdr:colOff>
      <xdr:row>18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519112</xdr:colOff>
      <xdr:row>20</xdr:row>
      <xdr:rowOff>152400</xdr:rowOff>
    </xdr:from>
    <xdr:to>
      <xdr:col>10</xdr:col>
      <xdr:colOff>323850</xdr:colOff>
      <xdr:row>37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52387</xdr:colOff>
      <xdr:row>21</xdr:row>
      <xdr:rowOff>0</xdr:rowOff>
    </xdr:from>
    <xdr:to>
      <xdr:col>20</xdr:col>
      <xdr:colOff>9525</xdr:colOff>
      <xdr:row>39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576261</xdr:colOff>
      <xdr:row>41</xdr:row>
      <xdr:rowOff>85725</xdr:rowOff>
    </xdr:from>
    <xdr:to>
      <xdr:col>10</xdr:col>
      <xdr:colOff>504824</xdr:colOff>
      <xdr:row>60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29</xdr:row>
      <xdr:rowOff>38099</xdr:rowOff>
    </xdr:from>
    <xdr:to>
      <xdr:col>3</xdr:col>
      <xdr:colOff>542925</xdr:colOff>
      <xdr:row>37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27B7D3-0C07-6485-4D94-38EEF474B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476249</xdr:colOff>
      <xdr:row>1</xdr:row>
      <xdr:rowOff>95250</xdr:rowOff>
    </xdr:from>
    <xdr:to>
      <xdr:col>23</xdr:col>
      <xdr:colOff>171448</xdr:colOff>
      <xdr:row>6</xdr:row>
      <xdr:rowOff>66675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6135D59-5B3F-FF68-4B2F-F741373F52AD}"/>
            </a:ext>
          </a:extLst>
        </xdr:cNvPr>
        <xdr:cNvSpPr/>
      </xdr:nvSpPr>
      <xdr:spPr>
        <a:xfrm>
          <a:off x="2305049" y="266700"/>
          <a:ext cx="11887199" cy="828675"/>
        </a:xfrm>
        <a:prstGeom prst="roundRect">
          <a:avLst>
            <a:gd name="adj" fmla="val 1507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4000" b="1" kern="1200">
              <a:solidFill>
                <a:schemeClr val="accent1">
                  <a:lumMod val="50000"/>
                </a:schemeClr>
              </a:solidFill>
            </a:rPr>
            <a:t>Sales Dashboard</a:t>
          </a:r>
          <a:endParaRPr lang="en-DE" sz="40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514350</xdr:colOff>
      <xdr:row>7</xdr:row>
      <xdr:rowOff>129539</xdr:rowOff>
    </xdr:from>
    <xdr:to>
      <xdr:col>9</xdr:col>
      <xdr:colOff>481965</xdr:colOff>
      <xdr:row>15</xdr:row>
      <xdr:rowOff>142874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FA32FE4-3C07-4FD3-AA75-7996736B7282}"/>
            </a:ext>
          </a:extLst>
        </xdr:cNvPr>
        <xdr:cNvSpPr/>
      </xdr:nvSpPr>
      <xdr:spPr>
        <a:xfrm>
          <a:off x="2343150" y="1329689"/>
          <a:ext cx="3625215" cy="1384935"/>
        </a:xfrm>
        <a:prstGeom prst="roundRect">
          <a:avLst>
            <a:gd name="adj" fmla="val 1491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 kern="1200">
              <a:solidFill>
                <a:schemeClr val="accent1">
                  <a:lumMod val="50000"/>
                </a:schemeClr>
              </a:solidFill>
            </a:rPr>
            <a:t>Sales</a:t>
          </a:r>
          <a:r>
            <a:rPr lang="en-GB" sz="1600" b="1" kern="1200" baseline="0">
              <a:solidFill>
                <a:schemeClr val="accent1">
                  <a:lumMod val="50000"/>
                </a:schemeClr>
              </a:solidFill>
            </a:rPr>
            <a:t> </a:t>
          </a:r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605791</xdr:colOff>
      <xdr:row>7</xdr:row>
      <xdr:rowOff>45720</xdr:rowOff>
    </xdr:from>
    <xdr:to>
      <xdr:col>22</xdr:col>
      <xdr:colOff>502920</xdr:colOff>
      <xdr:row>15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D7F1069-399D-46DB-A3E6-E008B58221B9}"/>
            </a:ext>
          </a:extLst>
        </xdr:cNvPr>
        <xdr:cNvSpPr/>
      </xdr:nvSpPr>
      <xdr:spPr>
        <a:xfrm>
          <a:off x="10359391" y="1245870"/>
          <a:ext cx="3554729" cy="1440180"/>
        </a:xfrm>
        <a:prstGeom prst="roundRect">
          <a:avLst>
            <a:gd name="adj" fmla="val 1491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 kern="1200">
              <a:solidFill>
                <a:schemeClr val="accent1">
                  <a:lumMod val="50000"/>
                </a:schemeClr>
              </a:solidFill>
            </a:rPr>
            <a:t>#</a:t>
          </a:r>
          <a:r>
            <a:rPr lang="en-GB" sz="1600" b="1" kern="1200" baseline="0">
              <a:solidFill>
                <a:schemeClr val="accent1">
                  <a:lumMod val="50000"/>
                </a:schemeClr>
              </a:solidFill>
            </a:rPr>
            <a:t> Items</a:t>
          </a:r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114300</xdr:colOff>
      <xdr:row>8</xdr:row>
      <xdr:rowOff>0</xdr:rowOff>
    </xdr:from>
    <xdr:to>
      <xdr:col>16</xdr:col>
      <xdr:colOff>476250</xdr:colOff>
      <xdr:row>15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BA7F05F-1356-4FD6-B74A-1FF9FBB9E721}"/>
            </a:ext>
          </a:extLst>
        </xdr:cNvPr>
        <xdr:cNvSpPr/>
      </xdr:nvSpPr>
      <xdr:spPr>
        <a:xfrm>
          <a:off x="6210300" y="1371600"/>
          <a:ext cx="4019550" cy="1362075"/>
        </a:xfrm>
        <a:prstGeom prst="roundRect">
          <a:avLst>
            <a:gd name="adj" fmla="val 1491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 kern="1200">
              <a:solidFill>
                <a:schemeClr val="accent1">
                  <a:lumMod val="50000"/>
                </a:schemeClr>
              </a:solidFill>
            </a:rPr>
            <a:t>Customer by Revenue</a:t>
          </a:r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459104</xdr:colOff>
      <xdr:row>18</xdr:row>
      <xdr:rowOff>28575</xdr:rowOff>
    </xdr:from>
    <xdr:to>
      <xdr:col>15</xdr:col>
      <xdr:colOff>461009</xdr:colOff>
      <xdr:row>32</xdr:row>
      <xdr:rowOff>19051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CB5C6B7-0110-4F47-8302-9BF901925AA9}"/>
            </a:ext>
          </a:extLst>
        </xdr:cNvPr>
        <xdr:cNvSpPr/>
      </xdr:nvSpPr>
      <xdr:spPr>
        <a:xfrm>
          <a:off x="1678304" y="3114675"/>
          <a:ext cx="7926705" cy="2390776"/>
        </a:xfrm>
        <a:prstGeom prst="roundRect">
          <a:avLst>
            <a:gd name="adj" fmla="val 1491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 kern="1200">
              <a:solidFill>
                <a:schemeClr val="accent1">
                  <a:lumMod val="50000"/>
                </a:schemeClr>
              </a:solidFill>
            </a:rPr>
            <a:t>2021-2022</a:t>
          </a:r>
          <a:r>
            <a:rPr lang="en-GB" sz="1600" b="1" kern="1200" baseline="0">
              <a:solidFill>
                <a:schemeClr val="accent1">
                  <a:lumMod val="50000"/>
                </a:schemeClr>
              </a:solidFill>
            </a:rPr>
            <a:t> Sales Trend</a:t>
          </a:r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24766</xdr:colOff>
      <xdr:row>17</xdr:row>
      <xdr:rowOff>53340</xdr:rowOff>
    </xdr:from>
    <xdr:to>
      <xdr:col>23</xdr:col>
      <xdr:colOff>228600</xdr:colOff>
      <xdr:row>30</xdr:row>
      <xdr:rowOff>163830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2582419-84E5-476B-AB2F-66B6E62CE895}"/>
            </a:ext>
          </a:extLst>
        </xdr:cNvPr>
        <xdr:cNvSpPr/>
      </xdr:nvSpPr>
      <xdr:spPr>
        <a:xfrm>
          <a:off x="10387966" y="2967990"/>
          <a:ext cx="3861434" cy="2339340"/>
        </a:xfrm>
        <a:prstGeom prst="roundRect">
          <a:avLst>
            <a:gd name="adj" fmla="val 1491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 kern="1200" baseline="0">
              <a:solidFill>
                <a:schemeClr val="accent1">
                  <a:lumMod val="50000"/>
                </a:schemeClr>
              </a:solidFill>
            </a:rPr>
            <a:t>Products Satisfaction</a:t>
          </a:r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455296</xdr:colOff>
      <xdr:row>1</xdr:row>
      <xdr:rowOff>91440</xdr:rowOff>
    </xdr:from>
    <xdr:to>
      <xdr:col>29</xdr:col>
      <xdr:colOff>173355</xdr:colOff>
      <xdr:row>25</xdr:row>
      <xdr:rowOff>104775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5F1487D-0AFC-4706-99C0-9C59623CFF74}"/>
            </a:ext>
          </a:extLst>
        </xdr:cNvPr>
        <xdr:cNvSpPr/>
      </xdr:nvSpPr>
      <xdr:spPr>
        <a:xfrm>
          <a:off x="14476096" y="262890"/>
          <a:ext cx="3375659" cy="4128135"/>
        </a:xfrm>
        <a:prstGeom prst="roundRect">
          <a:avLst>
            <a:gd name="adj" fmla="val 14912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474345</xdr:colOff>
      <xdr:row>1</xdr:row>
      <xdr:rowOff>78105</xdr:rowOff>
    </xdr:from>
    <xdr:to>
      <xdr:col>30</xdr:col>
      <xdr:colOff>325755</xdr:colOff>
      <xdr:row>31</xdr:row>
      <xdr:rowOff>78105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C680BE7-8207-463F-BFDB-BB6468E5184E}"/>
            </a:ext>
          </a:extLst>
        </xdr:cNvPr>
        <xdr:cNvSpPr/>
      </xdr:nvSpPr>
      <xdr:spPr>
        <a:xfrm>
          <a:off x="14495145" y="249555"/>
          <a:ext cx="4118610" cy="5143500"/>
        </a:xfrm>
        <a:prstGeom prst="roundRect">
          <a:avLst>
            <a:gd name="adj" fmla="val 14912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600" b="1" kern="12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34290</xdr:colOff>
      <xdr:row>19</xdr:row>
      <xdr:rowOff>125732</xdr:rowOff>
    </xdr:from>
    <xdr:to>
      <xdr:col>15</xdr:col>
      <xdr:colOff>438150</xdr:colOff>
      <xdr:row>30</xdr:row>
      <xdr:rowOff>104776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620D63-2CEB-43BB-9A9E-69DC4EED3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582931</xdr:colOff>
      <xdr:row>19</xdr:row>
      <xdr:rowOff>116205</xdr:rowOff>
    </xdr:from>
    <xdr:to>
      <xdr:col>23</xdr:col>
      <xdr:colOff>91440</xdr:colOff>
      <xdr:row>31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6A3E068-9B56-487B-82CF-4536D6CB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335280</xdr:colOff>
      <xdr:row>35</xdr:row>
      <xdr:rowOff>64769</xdr:rowOff>
    </xdr:from>
    <xdr:to>
      <xdr:col>21</xdr:col>
      <xdr:colOff>462915</xdr:colOff>
      <xdr:row>44</xdr:row>
      <xdr:rowOff>60959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40DB111-0517-443C-9F05-53E041F64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247650</xdr:colOff>
      <xdr:row>9</xdr:row>
      <xdr:rowOff>148591</xdr:rowOff>
    </xdr:from>
    <xdr:to>
      <xdr:col>16</xdr:col>
      <xdr:colOff>419099</xdr:colOff>
      <xdr:row>15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445DDC1-6C30-4F87-8A93-F460A0B27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reas Exadaktylos" refreshedDate="44839.407901967592" createdVersion="8" refreshedVersion="8" minRefreshableVersion="3" recordCount="64">
  <cacheSource type="worksheet">
    <worksheetSource ref="A1:M65" sheet="Data"/>
  </cacheSource>
  <cacheFields count="12">
    <cacheField name="OrderDate" numFmtId="169">
      <sharedItems containsSemiMixedTypes="0" containsNonDate="0" containsDate="1" containsString="0" minDate="2021-01-15T00:00:00" maxDate="2022-12-30T00:00:00" count="64">
        <d v="2022-01-06T00:00:00"/>
        <d v="2022-01-23T00:00:00"/>
        <d v="2022-02-09T00:00:00"/>
        <d v="2022-02-26T00:00:00"/>
        <d v="2022-03-15T00:00:00"/>
        <d v="2022-04-01T00:00:00"/>
        <d v="2022-04-18T00:00:00"/>
        <d v="2022-05-05T00:00:00"/>
        <d v="2022-05-22T00:00:00"/>
        <d v="2022-06-08T00:00:00"/>
        <d v="2022-06-25T00:00:00"/>
        <d v="2022-07-12T00:00:00"/>
        <d v="2022-07-29T00:00:00"/>
        <d v="2022-08-15T00:00:00"/>
        <d v="2022-09-01T00:00:00"/>
        <d v="2022-09-18T00:00:00"/>
        <d v="2022-10-05T00:00:00"/>
        <d v="2022-10-22T00:00:00"/>
        <d v="2022-11-08T00:00:00"/>
        <d v="2022-11-25T00:00:00"/>
        <d v="2022-12-12T00:00:00"/>
        <d v="2022-12-29T00:00:00"/>
        <d v="2021-01-15T00:00:00"/>
        <d v="2021-02-01T00:00:00"/>
        <d v="2021-02-18T00:00:00"/>
        <d v="2021-03-07T00:00:00"/>
        <d v="2021-03-24T00:00:00"/>
        <d v="2021-04-10T00:00:00"/>
        <d v="2021-04-27T00:00:00"/>
        <d v="2021-05-14T00:00:00"/>
        <d v="2021-05-31T00:00:00"/>
        <d v="2021-06-17T00:00:00"/>
        <d v="2021-07-04T00:00:00"/>
        <d v="2021-07-21T00:00:00"/>
        <d v="2021-08-07T00:00:00"/>
        <d v="2021-08-24T00:00:00"/>
        <d v="2021-09-10T00:00:00"/>
        <d v="2021-09-27T00:00:00"/>
        <d v="2021-10-14T00:00:00"/>
        <d v="2021-10-31T00:00:00"/>
        <d v="2021-11-17T00:00:00"/>
        <d v="2021-12-04T00:00:00"/>
        <d v="2021-12-21T00:00:00"/>
        <d v="2022-01-15T00:00:00"/>
        <d v="2022-02-01T00:00:00"/>
        <d v="2022-02-18T00:00:00"/>
        <d v="2022-03-07T00:00:00"/>
        <d v="2022-03-24T00:00:00"/>
        <d v="2022-04-10T00:00:00"/>
        <d v="2022-04-27T00:00:00"/>
        <d v="2022-05-14T00:00:00"/>
        <d v="2022-05-31T00:00:00"/>
        <d v="2022-06-17T00:00:00"/>
        <d v="2022-07-04T00:00:00"/>
        <d v="2022-07-21T00:00:00"/>
        <d v="2022-08-07T00:00:00"/>
        <d v="2022-08-24T00:00:00"/>
        <d v="2022-09-10T00:00:00"/>
        <d v="2022-09-27T00:00:00"/>
        <d v="2022-10-14T00:00:00"/>
        <d v="2022-10-31T00:00:00"/>
        <d v="2022-11-17T00:00:00"/>
        <d v="2022-12-04T00:00:00"/>
        <d v="2022-12-21T00:00:00"/>
      </sharedItems>
      <fieldGroup par="11"/>
    </cacheField>
    <cacheField name="Region" numFmtId="0">
      <sharedItems/>
    </cacheField>
    <cacheField name="Country" numFmtId="0">
      <sharedItems count="7">
        <s v="Japan"/>
        <s v="USA"/>
        <s v="France"/>
        <s v="Germany"/>
        <s v="Greece"/>
        <s v="China"/>
        <s v="Hong Kong"/>
      </sharedItems>
    </cacheField>
    <cacheField name="Customer" numFmtId="0">
      <sharedItems/>
    </cacheField>
    <cacheField name="Item" numFmtId="0">
      <sharedItems count="8">
        <s v="Pencil"/>
        <s v="Binder"/>
        <s v="Pen"/>
        <s v="Blanco"/>
        <s v="Paper"/>
        <s v="Desk"/>
        <s v="Pen Set"/>
        <s v="Highlighter"/>
      </sharedItems>
    </cacheField>
    <cacheField name="Quantity" numFmtId="0">
      <sharedItems containsSemiMixedTypes="0" containsString="0" containsNumber="1" containsInteger="1" minValue="2" maxValue="96"/>
    </cacheField>
    <cacheField name="Unit Cost" numFmtId="164">
      <sharedItems containsSemiMixedTypes="0" containsString="0" containsNumber="1" minValue="1.29" maxValue="275"/>
    </cacheField>
    <cacheField name="Revenue" numFmtId="164">
      <sharedItems containsSemiMixedTypes="0" containsString="0" containsNumber="1" minValue="9.0300000000000011" maxValue="1879.06"/>
    </cacheField>
    <cacheField name="Paid" numFmtId="0">
      <sharedItems/>
    </cacheField>
    <cacheField name="Months (OrderDate)" numFmtId="0" databaseField="0">
      <fieldGroup base="0">
        <rangePr groupBy="months" startDate="2021-01-15T00:00:00" endDate="2022-12-30T00:00:00"/>
        <groupItems count="14">
          <s v="&lt;1/15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2"/>
        </groupItems>
      </fieldGroup>
    </cacheField>
    <cacheField name="Quarters (OrderDate)" numFmtId="0" databaseField="0">
      <fieldGroup base="0">
        <rangePr groupBy="quarters" startDate="2021-01-15T00:00:00" endDate="2022-12-30T00:00:00"/>
        <groupItems count="6">
          <s v="&lt;1/15/2021"/>
          <s v="Qtr1"/>
          <s v="Qtr2"/>
          <s v="Qtr3"/>
          <s v="Qtr4"/>
          <s v="&gt;12/30/2022"/>
        </groupItems>
      </fieldGroup>
    </cacheField>
    <cacheField name="Years (OrderDate)" numFmtId="0" databaseField="0">
      <fieldGroup base="0">
        <rangePr groupBy="years" startDate="2021-01-15T00:00:00" endDate="2022-12-30T00:00:00"/>
        <groupItems count="4">
          <s v="&lt;1/15/2021"/>
          <s v="2021"/>
          <s v="2022"/>
          <s v="&gt;12/30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ile" refreshedDate="46045.408116435188" createdVersion="6" refreshedVersion="6" minRefreshableVersion="3" recordCount="64">
  <cacheSource type="worksheet">
    <worksheetSource ref="A1:Q65" sheet="Data"/>
  </cacheSource>
  <cacheFields count="19">
    <cacheField name="OrderDate" numFmtId="14">
      <sharedItems containsSemiMixedTypes="0" containsNonDate="0" containsDate="1" containsString="0" minDate="2021-01-15T00:00:00" maxDate="2022-12-30T00:00:00" count="64">
        <d v="2022-01-06T00:00:00"/>
        <d v="2022-01-23T00:00:00"/>
        <d v="2022-02-09T00:00:00"/>
        <d v="2022-02-26T00:00:00"/>
        <d v="2022-03-15T00:00:00"/>
        <d v="2022-04-01T00:00:00"/>
        <d v="2022-04-18T00:00:00"/>
        <d v="2022-05-05T00:00:00"/>
        <d v="2022-05-22T00:00:00"/>
        <d v="2022-06-08T00:00:00"/>
        <d v="2022-06-25T00:00:00"/>
        <d v="2022-07-12T00:00:00"/>
        <d v="2022-07-29T00:00:00"/>
        <d v="2022-08-15T00:00:00"/>
        <d v="2022-09-01T00:00:00"/>
        <d v="2022-09-18T00:00:00"/>
        <d v="2022-10-05T00:00:00"/>
        <d v="2022-10-22T00:00:00"/>
        <d v="2022-11-08T00:00:00"/>
        <d v="2022-11-25T00:00:00"/>
        <d v="2022-12-12T00:00:00"/>
        <d v="2022-12-29T00:00:00"/>
        <d v="2021-01-15T00:00:00"/>
        <d v="2021-02-01T00:00:00"/>
        <d v="2021-02-18T00:00:00"/>
        <d v="2021-03-07T00:00:00"/>
        <d v="2021-03-24T00:00:00"/>
        <d v="2021-04-10T00:00:00"/>
        <d v="2021-04-27T00:00:00"/>
        <d v="2021-05-14T00:00:00"/>
        <d v="2021-05-31T00:00:00"/>
        <d v="2021-06-17T00:00:00"/>
        <d v="2021-07-04T00:00:00"/>
        <d v="2021-07-21T00:00:00"/>
        <d v="2021-08-07T00:00:00"/>
        <d v="2021-08-24T00:00:00"/>
        <d v="2021-09-10T00:00:00"/>
        <d v="2021-09-27T00:00:00"/>
        <d v="2021-10-14T00:00:00"/>
        <d v="2021-10-31T00:00:00"/>
        <d v="2021-11-17T00:00:00"/>
        <d v="2021-12-04T00:00:00"/>
        <d v="2021-12-21T00:00:00"/>
        <d v="2022-01-15T00:00:00"/>
        <d v="2022-02-01T00:00:00"/>
        <d v="2022-02-18T00:00:00"/>
        <d v="2022-03-07T00:00:00"/>
        <d v="2022-03-24T00:00:00"/>
        <d v="2022-04-10T00:00:00"/>
        <d v="2022-04-27T00:00:00"/>
        <d v="2022-05-14T00:00:00"/>
        <d v="2022-05-31T00:00:00"/>
        <d v="2022-06-17T00:00:00"/>
        <d v="2022-07-04T00:00:00"/>
        <d v="2022-07-21T00:00:00"/>
        <d v="2022-08-07T00:00:00"/>
        <d v="2022-08-24T00:00:00"/>
        <d v="2022-09-10T00:00:00"/>
        <d v="2022-09-27T00:00:00"/>
        <d v="2022-10-14T00:00:00"/>
        <d v="2022-10-31T00:00:00"/>
        <d v="2022-11-17T00:00:00"/>
        <d v="2022-12-04T00:00:00"/>
        <d v="2022-12-21T00:00:00"/>
      </sharedItems>
      <fieldGroup par="18" base="0">
        <rangePr groupBy="months" startDate="2021-01-15T00:00:00" endDate="2022-12-30T00:00:00"/>
        <groupItems count="14">
          <s v="&lt;2021/01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/12/30"/>
        </groupItems>
      </fieldGroup>
    </cacheField>
    <cacheField name="Region" numFmtId="0">
      <sharedItems count="3">
        <s v="East"/>
        <s v="Central"/>
        <s v="West"/>
      </sharedItems>
    </cacheField>
    <cacheField name="Country" numFmtId="0">
      <sharedItems count="7">
        <s v="Japan"/>
        <s v="USA"/>
        <s v="France"/>
        <s v="Germany"/>
        <s v="Greece"/>
        <s v="China"/>
        <s v="Hong Kong"/>
      </sharedItems>
    </cacheField>
    <cacheField name="Um" numFmtId="0">
      <sharedItems/>
    </cacheField>
    <cacheField name="Customer" numFmtId="0">
      <sharedItems/>
    </cacheField>
    <cacheField name="Product ID" numFmtId="0">
      <sharedItems/>
    </cacheField>
    <cacheField name="Product" numFmtId="0">
      <sharedItems count="64">
        <s v="Product1"/>
        <s v="Product2"/>
        <s v="Product3"/>
        <s v="Product4"/>
        <s v="Product5"/>
        <s v="Product6"/>
        <s v="Product7"/>
        <s v="Product8"/>
        <s v="Product9"/>
        <s v="Product10"/>
        <s v="Product11"/>
        <s v="Product12"/>
        <s v="Product13"/>
        <s v="Product14"/>
        <s v="Product15"/>
        <s v="Product16"/>
        <s v="Product17"/>
        <s v="Product18"/>
        <s v="Product19"/>
        <s v="Product20"/>
        <s v="Product21"/>
        <s v="Product22"/>
        <s v="Product23"/>
        <s v="Product24"/>
        <s v="Product25"/>
        <s v="Product26"/>
        <s v="Product27"/>
        <s v="Product28"/>
        <s v="Product29"/>
        <s v="Product30"/>
        <s v="Product31"/>
        <s v="Product32"/>
        <s v="Product33"/>
        <s v="Product34"/>
        <s v="Product35"/>
        <s v="Product36"/>
        <s v="Product37"/>
        <s v="Product38"/>
        <s v="Product39"/>
        <s v="Product40"/>
        <s v="Product41"/>
        <s v="Product42"/>
        <s v="Product43"/>
        <s v="Product44"/>
        <s v="Product45"/>
        <s v="Product46"/>
        <s v="Product47"/>
        <s v="Product48"/>
        <s v="Product49"/>
        <s v="Product50"/>
        <s v="Product51"/>
        <s v="Product52"/>
        <s v="Product53"/>
        <s v="Product54"/>
        <s v="Product55"/>
        <s v="Product56"/>
        <s v="Product57"/>
        <s v="Product58"/>
        <s v="Product59"/>
        <s v="Product60"/>
        <s v="Product61"/>
        <s v="Product62"/>
        <s v="Product63"/>
        <s v="Product64"/>
      </sharedItems>
    </cacheField>
    <cacheField name="Category" numFmtId="0">
      <sharedItems count="5">
        <s v="Category1"/>
        <s v="Category2"/>
        <s v="Category3"/>
        <s v="Category4"/>
        <s v="Category5"/>
      </sharedItems>
    </cacheField>
    <cacheField name="Item" numFmtId="0">
      <sharedItems count="9">
        <s v="Pencil"/>
        <s v="Binder"/>
        <s v="Biro"/>
        <s v="Pen"/>
        <s v="Blanco"/>
        <s v="Paper"/>
        <s v="Desk"/>
        <s v="Pen Set"/>
        <s v="Highlighter"/>
      </sharedItems>
    </cacheField>
    <cacheField name="Quantity" numFmtId="0">
      <sharedItems containsSemiMixedTypes="0" containsString="0" containsNumber="1" containsInteger="1" minValue="2" maxValue="96"/>
    </cacheField>
    <cacheField name="Unit Cost" numFmtId="170">
      <sharedItems containsSemiMixedTypes="0" containsString="0" containsNumber="1" minValue="1.29" maxValue="275"/>
    </cacheField>
    <cacheField name="Revenue" numFmtId="170">
      <sharedItems containsSemiMixedTypes="0" containsString="0" containsNumber="1" minValue="9.0300000000000011" maxValue="1879.06"/>
    </cacheField>
    <cacheField name="Paid" numFmtId="0">
      <sharedItems/>
    </cacheField>
    <cacheField name="Buying Price" numFmtId="171">
      <sharedItems containsSemiMixedTypes="0" containsString="0" containsNumber="1" containsInteger="1" minValue="10" maxValue="50"/>
    </cacheField>
    <cacheField name="Discount" numFmtId="172">
      <sharedItems containsSemiMixedTypes="0" containsString="0" containsNumber="1" containsInteger="1" minValue="0" maxValue="0"/>
    </cacheField>
    <cacheField name="Selling Price" numFmtId="171">
      <sharedItems containsSemiMixedTypes="0" containsString="0" containsNumber="1" containsInteger="1" minValue="45" maxValue="90"/>
    </cacheField>
    <cacheField name="Sales Type" numFmtId="0">
      <sharedItems count="3">
        <s v="Wholesales"/>
        <s v="Direct Sales"/>
        <s v="Online Sales"/>
      </sharedItems>
    </cacheField>
    <cacheField name="Quarters" numFmtId="0" databaseField="0">
      <fieldGroup base="0">
        <rangePr groupBy="quarters" startDate="2021-01-15T00:00:00" endDate="2022-12-30T00:00:00"/>
        <groupItems count="6">
          <s v="&lt;2021/01/15"/>
          <s v="Qtr1"/>
          <s v="Qtr2"/>
          <s v="Qtr3"/>
          <s v="Qtr4"/>
          <s v="&gt;2022/12/30"/>
        </groupItems>
      </fieldGroup>
    </cacheField>
    <cacheField name="Years" numFmtId="0" databaseField="0">
      <fieldGroup base="0">
        <rangePr groupBy="years" startDate="2021-01-15T00:00:00" endDate="2022-12-30T00:00:00"/>
        <groupItems count="4">
          <s v="&lt;2021/01/15"/>
          <s v="2021"/>
          <s v="2022"/>
          <s v="&gt;2022/12/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s v="East"/>
    <x v="0"/>
    <s v="Jones"/>
    <x v="0"/>
    <n v="95"/>
    <n v="1.99"/>
    <n v="189.05"/>
    <s v="Yes"/>
  </r>
  <r>
    <x v="1"/>
    <s v="Central"/>
    <x v="1"/>
    <s v="Kivell"/>
    <x v="1"/>
    <n v="50"/>
    <n v="19.989999999999998"/>
    <n v="999.49999999999989"/>
    <s v="No"/>
  </r>
  <r>
    <x v="2"/>
    <s v="Central"/>
    <x v="2"/>
    <s v="Jardine"/>
    <x v="0"/>
    <n v="36"/>
    <n v="4.99"/>
    <n v="179.64000000000001"/>
    <s v="No"/>
  </r>
  <r>
    <x v="3"/>
    <s v="Central"/>
    <x v="3"/>
    <s v="Gill"/>
    <x v="2"/>
    <n v="27"/>
    <n v="19.989999999999998"/>
    <n v="539.7299999999999"/>
    <s v="Yes"/>
  </r>
  <r>
    <x v="4"/>
    <s v="West"/>
    <x v="1"/>
    <s v="Sorvino"/>
    <x v="0"/>
    <n v="56"/>
    <n v="2.99"/>
    <n v="167.44"/>
    <s v="No"/>
  </r>
  <r>
    <x v="5"/>
    <s v="East"/>
    <x v="0"/>
    <s v="Jones"/>
    <x v="1"/>
    <n v="60"/>
    <n v="4.99"/>
    <n v="299.40000000000003"/>
    <s v="No"/>
  </r>
  <r>
    <x v="6"/>
    <s v="Central"/>
    <x v="4"/>
    <s v="Andrews"/>
    <x v="3"/>
    <n v="75"/>
    <n v="1.99"/>
    <n v="149.25"/>
    <s v="Yes"/>
  </r>
  <r>
    <x v="7"/>
    <s v="Central"/>
    <x v="2"/>
    <s v="Jardine"/>
    <x v="0"/>
    <n v="90"/>
    <n v="4.99"/>
    <n v="449.1"/>
    <s v="Yes"/>
  </r>
  <r>
    <x v="8"/>
    <s v="West"/>
    <x v="4"/>
    <s v="Thompson"/>
    <x v="3"/>
    <n v="32"/>
    <n v="1.99"/>
    <n v="63.68"/>
    <s v="No"/>
  </r>
  <r>
    <x v="9"/>
    <s v="East"/>
    <x v="5"/>
    <s v="Jones"/>
    <x v="1"/>
    <n v="60"/>
    <n v="8.99"/>
    <n v="539.4"/>
    <s v="Yes"/>
  </r>
  <r>
    <x v="10"/>
    <s v="Central"/>
    <x v="3"/>
    <s v="Morgan"/>
    <x v="0"/>
    <n v="90"/>
    <n v="4.99"/>
    <n v="449.1"/>
    <s v="No"/>
  </r>
  <r>
    <x v="11"/>
    <s v="East"/>
    <x v="6"/>
    <s v="Howard"/>
    <x v="4"/>
    <n v="29"/>
    <n v="1.99"/>
    <n v="57.71"/>
    <s v="No"/>
  </r>
  <r>
    <x v="12"/>
    <s v="East"/>
    <x v="5"/>
    <s v="Parent"/>
    <x v="4"/>
    <n v="81"/>
    <n v="19.989999999999998"/>
    <n v="1619.1899999999998"/>
    <s v="Yes"/>
  </r>
  <r>
    <x v="13"/>
    <s v="East"/>
    <x v="6"/>
    <s v="Jones"/>
    <x v="0"/>
    <n v="35"/>
    <n v="4.99"/>
    <n v="174.65"/>
    <s v="No"/>
  </r>
  <r>
    <x v="14"/>
    <s v="Central"/>
    <x v="1"/>
    <s v="Smith"/>
    <x v="5"/>
    <n v="2"/>
    <n v="125"/>
    <n v="250"/>
    <s v="No"/>
  </r>
  <r>
    <x v="15"/>
    <s v="East"/>
    <x v="5"/>
    <s v="Jones"/>
    <x v="6"/>
    <n v="16"/>
    <n v="15.99"/>
    <n v="255.84"/>
    <s v="Yes"/>
  </r>
  <r>
    <x v="16"/>
    <s v="Central"/>
    <x v="2"/>
    <s v="Morgan"/>
    <x v="4"/>
    <n v="28"/>
    <n v="8.99"/>
    <n v="251.72"/>
    <s v="No"/>
  </r>
  <r>
    <x v="17"/>
    <s v="East"/>
    <x v="6"/>
    <s v="Jones"/>
    <x v="2"/>
    <n v="64"/>
    <n v="8.99"/>
    <n v="575.36"/>
    <s v="No"/>
  </r>
  <r>
    <x v="18"/>
    <s v="East"/>
    <x v="5"/>
    <s v="Parent"/>
    <x v="2"/>
    <n v="15"/>
    <n v="19.989999999999998"/>
    <n v="299.84999999999997"/>
    <s v="No"/>
  </r>
  <r>
    <x v="19"/>
    <s v="Central"/>
    <x v="2"/>
    <s v="Kivell"/>
    <x v="7"/>
    <n v="96"/>
    <n v="4.99"/>
    <n v="479.04"/>
    <s v="No"/>
  </r>
  <r>
    <x v="20"/>
    <s v="Central"/>
    <x v="1"/>
    <s v="Smith"/>
    <x v="3"/>
    <n v="67"/>
    <n v="1.29"/>
    <n v="86.43"/>
    <s v="No"/>
  </r>
  <r>
    <x v="21"/>
    <s v="East"/>
    <x v="5"/>
    <s v="Parent"/>
    <x v="6"/>
    <n v="74"/>
    <n v="15.99"/>
    <n v="1183.26"/>
    <s v="No"/>
  </r>
  <r>
    <x v="22"/>
    <s v="Central"/>
    <x v="3"/>
    <s v="Gill"/>
    <x v="1"/>
    <n v="46"/>
    <n v="8.99"/>
    <n v="413.54"/>
    <s v="Yes"/>
  </r>
  <r>
    <x v="23"/>
    <s v="Central"/>
    <x v="1"/>
    <s v="Smith"/>
    <x v="1"/>
    <n v="87"/>
    <n v="15"/>
    <n v="1305"/>
    <s v="No"/>
  </r>
  <r>
    <x v="24"/>
    <s v="East"/>
    <x v="5"/>
    <s v="Jones"/>
    <x v="4"/>
    <n v="4"/>
    <n v="4.99"/>
    <n v="19.96"/>
    <s v="Yes"/>
  </r>
  <r>
    <x v="25"/>
    <s v="West"/>
    <x v="1"/>
    <s v="Sorvino"/>
    <x v="1"/>
    <n v="7"/>
    <n v="19.989999999999998"/>
    <n v="139.92999999999998"/>
    <s v="No"/>
  </r>
  <r>
    <x v="26"/>
    <s v="Central"/>
    <x v="3"/>
    <s v="Jardine"/>
    <x v="6"/>
    <n v="50"/>
    <n v="4.99"/>
    <n v="249.5"/>
    <s v="No"/>
  </r>
  <r>
    <x v="27"/>
    <s v="Central"/>
    <x v="4"/>
    <s v="Andrews"/>
    <x v="0"/>
    <n v="66"/>
    <n v="1.99"/>
    <n v="131.34"/>
    <s v="Yes"/>
  </r>
  <r>
    <x v="28"/>
    <s v="East"/>
    <x v="0"/>
    <s v="Howard"/>
    <x v="2"/>
    <n v="96"/>
    <n v="4.99"/>
    <n v="479.04"/>
    <s v="No"/>
  </r>
  <r>
    <x v="29"/>
    <s v="Central"/>
    <x v="2"/>
    <s v="Gill"/>
    <x v="0"/>
    <n v="53"/>
    <n v="1.29"/>
    <n v="68.37"/>
    <s v="No"/>
  </r>
  <r>
    <x v="30"/>
    <s v="Central"/>
    <x v="3"/>
    <s v="Gill"/>
    <x v="1"/>
    <n v="80"/>
    <n v="8.99"/>
    <n v="719.2"/>
    <s v="No"/>
  </r>
  <r>
    <x v="31"/>
    <s v="Central"/>
    <x v="4"/>
    <s v="Kivell"/>
    <x v="5"/>
    <n v="5"/>
    <n v="125"/>
    <n v="625"/>
    <s v="No"/>
  </r>
  <r>
    <x v="32"/>
    <s v="East"/>
    <x v="5"/>
    <s v="Jones"/>
    <x v="7"/>
    <n v="62"/>
    <n v="4.99"/>
    <n v="309.38"/>
    <s v="Yes"/>
  </r>
  <r>
    <x v="33"/>
    <s v="Central"/>
    <x v="3"/>
    <s v="Morgan"/>
    <x v="6"/>
    <n v="55"/>
    <n v="12.49"/>
    <n v="686.95"/>
    <s v="Yes"/>
  </r>
  <r>
    <x v="34"/>
    <s v="Central"/>
    <x v="1"/>
    <s v="Kivell"/>
    <x v="6"/>
    <n v="42"/>
    <n v="23.95"/>
    <n v="1005.9"/>
    <s v="Yes"/>
  </r>
  <r>
    <x v="35"/>
    <s v="West"/>
    <x v="4"/>
    <s v="Sorvino"/>
    <x v="5"/>
    <n v="3"/>
    <n v="275"/>
    <n v="825"/>
    <s v="No"/>
  </r>
  <r>
    <x v="36"/>
    <s v="Central"/>
    <x v="2"/>
    <s v="Gill"/>
    <x v="3"/>
    <n v="7"/>
    <n v="1.29"/>
    <n v="9.0300000000000011"/>
    <s v="No"/>
  </r>
  <r>
    <x v="37"/>
    <s v="West"/>
    <x v="4"/>
    <s v="Sorvino"/>
    <x v="2"/>
    <n v="76"/>
    <n v="1.99"/>
    <n v="151.24"/>
    <s v="No"/>
  </r>
  <r>
    <x v="38"/>
    <s v="West"/>
    <x v="4"/>
    <s v="Thompson"/>
    <x v="1"/>
    <n v="57"/>
    <n v="19.989999999999998"/>
    <n v="1139.4299999999998"/>
    <s v="No"/>
  </r>
  <r>
    <x v="39"/>
    <s v="Central"/>
    <x v="1"/>
    <s v="Andrews"/>
    <x v="0"/>
    <n v="14"/>
    <n v="1.29"/>
    <n v="18.060000000000002"/>
    <s v="No"/>
  </r>
  <r>
    <x v="40"/>
    <s v="Central"/>
    <x v="3"/>
    <s v="Jardine"/>
    <x v="4"/>
    <n v="11"/>
    <n v="4.99"/>
    <n v="54.89"/>
    <s v="Yes"/>
  </r>
  <r>
    <x v="41"/>
    <s v="Central"/>
    <x v="4"/>
    <s v="Jardine"/>
    <x v="1"/>
    <n v="94"/>
    <n v="19.989999999999998"/>
    <n v="1879.06"/>
    <s v="No"/>
  </r>
  <r>
    <x v="42"/>
    <s v="Central"/>
    <x v="4"/>
    <s v="Andrews"/>
    <x v="4"/>
    <n v="28"/>
    <n v="4.99"/>
    <n v="139.72"/>
    <s v="No"/>
  </r>
  <r>
    <x v="43"/>
    <s v="West"/>
    <x v="1"/>
    <s v="Jones"/>
    <x v="3"/>
    <n v="15"/>
    <n v="19.989999999999998"/>
    <n v="299.84999999999997"/>
    <s v="No"/>
  </r>
  <r>
    <x v="44"/>
    <s v="East"/>
    <x v="5"/>
    <s v="Smith"/>
    <x v="5"/>
    <n v="96"/>
    <n v="4.99"/>
    <n v="479.04"/>
    <s v="Yes"/>
  </r>
  <r>
    <x v="45"/>
    <s v="Central"/>
    <x v="3"/>
    <s v="Jones"/>
    <x v="7"/>
    <n v="67"/>
    <n v="1.29"/>
    <n v="86.43"/>
    <s v="Yes"/>
  </r>
  <r>
    <x v="46"/>
    <s v="Central"/>
    <x v="2"/>
    <s v="Morgan"/>
    <x v="1"/>
    <n v="74"/>
    <n v="15.99"/>
    <n v="1183.26"/>
    <s v="Yes"/>
  </r>
  <r>
    <x v="47"/>
    <s v="West"/>
    <x v="1"/>
    <s v="Jones"/>
    <x v="2"/>
    <n v="46"/>
    <n v="8.99"/>
    <n v="413.54"/>
    <s v="No"/>
  </r>
  <r>
    <x v="48"/>
    <s v="East"/>
    <x v="6"/>
    <s v="Parent"/>
    <x v="2"/>
    <n v="87"/>
    <n v="15"/>
    <n v="1305"/>
    <s v="No"/>
  </r>
  <r>
    <x v="49"/>
    <s v="Central"/>
    <x v="1"/>
    <s v="Kivell"/>
    <x v="7"/>
    <n v="4"/>
    <n v="4.99"/>
    <n v="19.96"/>
    <s v="Yes"/>
  </r>
  <r>
    <x v="50"/>
    <s v="East"/>
    <x v="5"/>
    <s v="Smith"/>
    <x v="0"/>
    <n v="7"/>
    <n v="19.989999999999998"/>
    <n v="139.92999999999998"/>
    <s v="No"/>
  </r>
  <r>
    <x v="51"/>
    <s v="East"/>
    <x v="6"/>
    <s v="Parent"/>
    <x v="6"/>
    <n v="50"/>
    <n v="4.99"/>
    <n v="249.5"/>
    <s v="No"/>
  </r>
  <r>
    <x v="52"/>
    <s v="East"/>
    <x v="6"/>
    <s v="Gill"/>
    <x v="7"/>
    <n v="66"/>
    <n v="1.99"/>
    <n v="131.34"/>
    <s v="Yes"/>
  </r>
  <r>
    <x v="53"/>
    <s v="Central"/>
    <x v="3"/>
    <s v="Smith"/>
    <x v="1"/>
    <n v="96"/>
    <n v="4.99"/>
    <n v="479.04"/>
    <s v="Yes"/>
  </r>
  <r>
    <x v="54"/>
    <s v="East"/>
    <x v="5"/>
    <s v="Jones"/>
    <x v="1"/>
    <n v="53"/>
    <n v="1.29"/>
    <n v="68.37"/>
    <s v="No"/>
  </r>
  <r>
    <x v="55"/>
    <s v="Central"/>
    <x v="1"/>
    <s v="Sorvino"/>
    <x v="4"/>
    <n v="80"/>
    <n v="8.99"/>
    <n v="719.2"/>
    <s v="No"/>
  </r>
  <r>
    <x v="56"/>
    <s v="East"/>
    <x v="6"/>
    <s v="Jardine"/>
    <x v="6"/>
    <n v="5"/>
    <n v="125"/>
    <n v="625"/>
    <s v="No"/>
  </r>
  <r>
    <x v="57"/>
    <s v="East"/>
    <x v="5"/>
    <s v="Andrews"/>
    <x v="3"/>
    <n v="62"/>
    <n v="4.99"/>
    <n v="309.38"/>
    <s v="Yes"/>
  </r>
  <r>
    <x v="58"/>
    <s v="West"/>
    <x v="4"/>
    <s v="Howard"/>
    <x v="2"/>
    <n v="55"/>
    <n v="12.49"/>
    <n v="686.95"/>
    <s v="Yes"/>
  </r>
  <r>
    <x v="59"/>
    <s v="Central"/>
    <x v="3"/>
    <s v="Gill"/>
    <x v="0"/>
    <n v="42"/>
    <n v="23.95"/>
    <n v="1005.9"/>
    <s v="No"/>
  </r>
  <r>
    <x v="60"/>
    <s v="West"/>
    <x v="4"/>
    <s v="Gill"/>
    <x v="1"/>
    <n v="56"/>
    <n v="2.99"/>
    <n v="167.44"/>
    <s v="No"/>
  </r>
  <r>
    <x v="61"/>
    <s v="West"/>
    <x v="1"/>
    <s v="Kivell"/>
    <x v="5"/>
    <n v="60"/>
    <n v="4.99"/>
    <n v="299.40000000000003"/>
    <s v="No"/>
  </r>
  <r>
    <x v="62"/>
    <s v="Central"/>
    <x v="2"/>
    <s v="Jones"/>
    <x v="6"/>
    <n v="75"/>
    <n v="1.99"/>
    <n v="149.25"/>
    <s v="No"/>
  </r>
  <r>
    <x v="63"/>
    <s v="Central"/>
    <x v="1"/>
    <s v="Morgan"/>
    <x v="7"/>
    <n v="90"/>
    <n v="4.99"/>
    <n v="449.1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Kg"/>
    <s v="Jones"/>
    <s v="P001"/>
    <x v="0"/>
    <x v="0"/>
    <x v="0"/>
    <n v="95"/>
    <n v="1.99"/>
    <n v="189.05"/>
    <s v="Online"/>
    <n v="24"/>
    <n v="0"/>
    <n v="45"/>
    <x v="0"/>
  </r>
  <r>
    <x v="1"/>
    <x v="1"/>
    <x v="1"/>
    <s v="Lt"/>
    <s v="Kivell"/>
    <s v="P002"/>
    <x v="1"/>
    <x v="1"/>
    <x v="1"/>
    <n v="50"/>
    <n v="19.989999999999998"/>
    <n v="999.49999999999989"/>
    <s v="Cash"/>
    <n v="43"/>
    <n v="0"/>
    <n v="90"/>
    <x v="1"/>
  </r>
  <r>
    <x v="2"/>
    <x v="1"/>
    <x v="2"/>
    <s v="Ft"/>
    <s v="Jardine"/>
    <s v="P003"/>
    <x v="2"/>
    <x v="2"/>
    <x v="2"/>
    <n v="36"/>
    <n v="4.99"/>
    <n v="179.64000000000001"/>
    <s v="Cash"/>
    <n v="32"/>
    <n v="0"/>
    <n v="74"/>
    <x v="1"/>
  </r>
  <r>
    <x v="3"/>
    <x v="1"/>
    <x v="3"/>
    <s v="No"/>
    <s v="Gill"/>
    <s v="P004"/>
    <x v="3"/>
    <x v="3"/>
    <x v="3"/>
    <n v="27"/>
    <n v="19.989999999999998"/>
    <n v="539.7299999999999"/>
    <s v="Online"/>
    <n v="18"/>
    <n v="0"/>
    <n v="75"/>
    <x v="1"/>
  </r>
  <r>
    <x v="4"/>
    <x v="2"/>
    <x v="1"/>
    <s v="Kg"/>
    <s v="Sorvino"/>
    <s v="P005"/>
    <x v="4"/>
    <x v="4"/>
    <x v="0"/>
    <n v="56"/>
    <n v="2.99"/>
    <n v="167.44"/>
    <s v="Cash"/>
    <n v="27"/>
    <n v="0"/>
    <n v="62"/>
    <x v="2"/>
  </r>
  <r>
    <x v="5"/>
    <x v="0"/>
    <x v="0"/>
    <s v="Kg"/>
    <s v="Jones"/>
    <s v="P006"/>
    <x v="5"/>
    <x v="0"/>
    <x v="1"/>
    <n v="60"/>
    <n v="4.99"/>
    <n v="299.40000000000003"/>
    <s v="Cash"/>
    <n v="46"/>
    <n v="0"/>
    <n v="58"/>
    <x v="0"/>
  </r>
  <r>
    <x v="6"/>
    <x v="1"/>
    <x v="4"/>
    <s v="Lt"/>
    <s v="Andrews"/>
    <s v="P007"/>
    <x v="6"/>
    <x v="0"/>
    <x v="4"/>
    <n v="75"/>
    <n v="1.99"/>
    <n v="149.25"/>
    <s v="Online"/>
    <n v="46"/>
    <n v="0"/>
    <n v="63"/>
    <x v="1"/>
  </r>
  <r>
    <x v="7"/>
    <x v="1"/>
    <x v="2"/>
    <s v="Ft"/>
    <s v="Jardine"/>
    <s v="P008"/>
    <x v="7"/>
    <x v="1"/>
    <x v="0"/>
    <n v="90"/>
    <n v="4.99"/>
    <n v="449.1"/>
    <s v="Online"/>
    <n v="44"/>
    <n v="0"/>
    <n v="64"/>
    <x v="1"/>
  </r>
  <r>
    <x v="8"/>
    <x v="2"/>
    <x v="4"/>
    <s v="No"/>
    <s v="Thompson"/>
    <s v="P009"/>
    <x v="8"/>
    <x v="2"/>
    <x v="4"/>
    <n v="32"/>
    <n v="1.99"/>
    <n v="63.68"/>
    <s v="Cash"/>
    <n v="30"/>
    <n v="0"/>
    <n v="82"/>
    <x v="2"/>
  </r>
  <r>
    <x v="9"/>
    <x v="0"/>
    <x v="5"/>
    <s v="Kg"/>
    <s v="Jones"/>
    <s v="P010"/>
    <x v="9"/>
    <x v="3"/>
    <x v="1"/>
    <n v="60"/>
    <n v="8.99"/>
    <n v="539.4"/>
    <s v="Online"/>
    <n v="37"/>
    <n v="0"/>
    <n v="87"/>
    <x v="0"/>
  </r>
  <r>
    <x v="10"/>
    <x v="1"/>
    <x v="3"/>
    <s v="Lt"/>
    <s v="Morgan"/>
    <s v="P011"/>
    <x v="10"/>
    <x v="4"/>
    <x v="0"/>
    <n v="90"/>
    <n v="4.99"/>
    <n v="449.1"/>
    <s v="Cash"/>
    <n v="39"/>
    <n v="0"/>
    <n v="58"/>
    <x v="1"/>
  </r>
  <r>
    <x v="11"/>
    <x v="0"/>
    <x v="6"/>
    <s v="Ft"/>
    <s v="Howard"/>
    <s v="P012"/>
    <x v="11"/>
    <x v="0"/>
    <x v="5"/>
    <n v="29"/>
    <n v="1.99"/>
    <n v="57.71"/>
    <s v="Cash"/>
    <n v="11"/>
    <n v="0"/>
    <n v="63"/>
    <x v="0"/>
  </r>
  <r>
    <x v="12"/>
    <x v="0"/>
    <x v="5"/>
    <s v="No"/>
    <s v="Parent"/>
    <s v="P013"/>
    <x v="12"/>
    <x v="1"/>
    <x v="5"/>
    <n v="81"/>
    <n v="19.989999999999998"/>
    <n v="1619.1899999999998"/>
    <s v="Online"/>
    <n v="19"/>
    <n v="0"/>
    <n v="72"/>
    <x v="0"/>
  </r>
  <r>
    <x v="13"/>
    <x v="0"/>
    <x v="6"/>
    <s v="Kg"/>
    <s v="Jones"/>
    <s v="P014"/>
    <x v="13"/>
    <x v="2"/>
    <x v="0"/>
    <n v="35"/>
    <n v="4.99"/>
    <n v="174.65"/>
    <s v="Cash"/>
    <n v="36"/>
    <n v="0"/>
    <n v="71"/>
    <x v="0"/>
  </r>
  <r>
    <x v="14"/>
    <x v="1"/>
    <x v="1"/>
    <s v="Kg"/>
    <s v="Smith"/>
    <s v="P015"/>
    <x v="14"/>
    <x v="3"/>
    <x v="6"/>
    <n v="2"/>
    <n v="125"/>
    <n v="250"/>
    <s v="Cash"/>
    <n v="15"/>
    <n v="0"/>
    <n v="80"/>
    <x v="1"/>
  </r>
  <r>
    <x v="15"/>
    <x v="0"/>
    <x v="5"/>
    <s v="Kg"/>
    <s v="Jones"/>
    <s v="P016"/>
    <x v="15"/>
    <x v="4"/>
    <x v="7"/>
    <n v="16"/>
    <n v="15.99"/>
    <n v="255.84"/>
    <s v="Online"/>
    <n v="10"/>
    <n v="0"/>
    <n v="63"/>
    <x v="0"/>
  </r>
  <r>
    <x v="16"/>
    <x v="1"/>
    <x v="2"/>
    <s v="Lt"/>
    <s v="Morgan"/>
    <s v="P017"/>
    <x v="16"/>
    <x v="0"/>
    <x v="5"/>
    <n v="28"/>
    <n v="8.99"/>
    <n v="251.72"/>
    <s v="Cash"/>
    <n v="40"/>
    <n v="0"/>
    <n v="67"/>
    <x v="1"/>
  </r>
  <r>
    <x v="17"/>
    <x v="0"/>
    <x v="6"/>
    <s v="Kg"/>
    <s v="Jones"/>
    <s v="P018"/>
    <x v="17"/>
    <x v="1"/>
    <x v="3"/>
    <n v="64"/>
    <n v="8.99"/>
    <n v="575.36"/>
    <s v="Cash"/>
    <n v="50"/>
    <n v="0"/>
    <n v="69"/>
    <x v="0"/>
  </r>
  <r>
    <x v="18"/>
    <x v="0"/>
    <x v="5"/>
    <s v="No"/>
    <s v="Parent"/>
    <s v="P019"/>
    <x v="18"/>
    <x v="2"/>
    <x v="3"/>
    <n v="15"/>
    <n v="19.989999999999998"/>
    <n v="299.84999999999997"/>
    <s v="Cash"/>
    <n v="28"/>
    <n v="0"/>
    <n v="52"/>
    <x v="0"/>
  </r>
  <r>
    <x v="19"/>
    <x v="1"/>
    <x v="2"/>
    <s v="Lt"/>
    <s v="Kivell"/>
    <s v="P020"/>
    <x v="19"/>
    <x v="3"/>
    <x v="8"/>
    <n v="96"/>
    <n v="4.99"/>
    <n v="479.04"/>
    <s v="Cash"/>
    <n v="25"/>
    <n v="0"/>
    <n v="88"/>
    <x v="1"/>
  </r>
  <r>
    <x v="20"/>
    <x v="1"/>
    <x v="1"/>
    <s v="Kg"/>
    <s v="Smith"/>
    <s v="P021"/>
    <x v="20"/>
    <x v="4"/>
    <x v="4"/>
    <n v="67"/>
    <n v="1.29"/>
    <n v="86.43"/>
    <s v="Cash"/>
    <n v="30"/>
    <n v="0"/>
    <n v="82"/>
    <x v="1"/>
  </r>
  <r>
    <x v="21"/>
    <x v="0"/>
    <x v="5"/>
    <s v="No"/>
    <s v="Parent"/>
    <s v="P022"/>
    <x v="21"/>
    <x v="0"/>
    <x v="7"/>
    <n v="74"/>
    <n v="15.99"/>
    <n v="1183.26"/>
    <s v="Cash"/>
    <n v="30"/>
    <n v="0"/>
    <n v="52"/>
    <x v="0"/>
  </r>
  <r>
    <x v="22"/>
    <x v="1"/>
    <x v="3"/>
    <s v="No"/>
    <s v="Gill"/>
    <s v="P023"/>
    <x v="22"/>
    <x v="1"/>
    <x v="1"/>
    <n v="46"/>
    <n v="8.99"/>
    <n v="413.54"/>
    <s v="Online"/>
    <n v="47"/>
    <n v="0"/>
    <n v="83"/>
    <x v="1"/>
  </r>
  <r>
    <x v="23"/>
    <x v="1"/>
    <x v="1"/>
    <s v="Kg"/>
    <s v="Smith"/>
    <s v="P024"/>
    <x v="23"/>
    <x v="2"/>
    <x v="1"/>
    <n v="87"/>
    <n v="15"/>
    <n v="1305"/>
    <s v="Cash"/>
    <n v="38"/>
    <n v="0"/>
    <n v="50"/>
    <x v="1"/>
  </r>
  <r>
    <x v="24"/>
    <x v="0"/>
    <x v="5"/>
    <s v="Kg"/>
    <s v="Jones"/>
    <s v="P025"/>
    <x v="24"/>
    <x v="3"/>
    <x v="5"/>
    <n v="4"/>
    <n v="4.99"/>
    <n v="19.96"/>
    <s v="Online"/>
    <n v="24"/>
    <n v="0"/>
    <n v="45"/>
    <x v="0"/>
  </r>
  <r>
    <x v="25"/>
    <x v="2"/>
    <x v="1"/>
    <s v="Kg"/>
    <s v="Sorvino"/>
    <s v="P026"/>
    <x v="25"/>
    <x v="4"/>
    <x v="1"/>
    <n v="7"/>
    <n v="19.989999999999998"/>
    <n v="139.92999999999998"/>
    <s v="Cash"/>
    <n v="43"/>
    <n v="0"/>
    <n v="90"/>
    <x v="2"/>
  </r>
  <r>
    <x v="26"/>
    <x v="1"/>
    <x v="3"/>
    <s v="Ft"/>
    <s v="Jardine"/>
    <s v="P027"/>
    <x v="26"/>
    <x v="0"/>
    <x v="7"/>
    <n v="50"/>
    <n v="4.99"/>
    <n v="249.5"/>
    <s v="Cash"/>
    <n v="32"/>
    <n v="0"/>
    <n v="74"/>
    <x v="1"/>
  </r>
  <r>
    <x v="27"/>
    <x v="1"/>
    <x v="4"/>
    <s v="Lt"/>
    <s v="Andrews"/>
    <s v="P028"/>
    <x v="27"/>
    <x v="1"/>
    <x v="0"/>
    <n v="66"/>
    <n v="1.99"/>
    <n v="131.34"/>
    <s v="Online"/>
    <n v="18"/>
    <n v="0"/>
    <n v="75"/>
    <x v="1"/>
  </r>
  <r>
    <x v="28"/>
    <x v="0"/>
    <x v="0"/>
    <s v="Ft"/>
    <s v="Howard"/>
    <s v="P029"/>
    <x v="28"/>
    <x v="2"/>
    <x v="3"/>
    <n v="96"/>
    <n v="4.99"/>
    <n v="479.04"/>
    <s v="Cash"/>
    <n v="27"/>
    <n v="0"/>
    <n v="62"/>
    <x v="0"/>
  </r>
  <r>
    <x v="29"/>
    <x v="1"/>
    <x v="2"/>
    <s v="No"/>
    <s v="Gill"/>
    <s v="P030"/>
    <x v="29"/>
    <x v="3"/>
    <x v="0"/>
    <n v="53"/>
    <n v="1.29"/>
    <n v="68.37"/>
    <s v="Cash"/>
    <n v="46"/>
    <n v="0"/>
    <n v="58"/>
    <x v="1"/>
  </r>
  <r>
    <x v="30"/>
    <x v="1"/>
    <x v="3"/>
    <s v="No"/>
    <s v="Gill"/>
    <s v="P031"/>
    <x v="30"/>
    <x v="4"/>
    <x v="1"/>
    <n v="80"/>
    <n v="8.99"/>
    <n v="719.2"/>
    <s v="Cash"/>
    <n v="46"/>
    <n v="0"/>
    <n v="63"/>
    <x v="1"/>
  </r>
  <r>
    <x v="31"/>
    <x v="1"/>
    <x v="4"/>
    <s v="Lt"/>
    <s v="Kivell"/>
    <s v="P032"/>
    <x v="31"/>
    <x v="0"/>
    <x v="6"/>
    <n v="5"/>
    <n v="125"/>
    <n v="625"/>
    <s v="Cash"/>
    <n v="44"/>
    <n v="0"/>
    <n v="64"/>
    <x v="1"/>
  </r>
  <r>
    <x v="32"/>
    <x v="0"/>
    <x v="5"/>
    <s v="Kg"/>
    <s v="Jones"/>
    <s v="P033"/>
    <x v="32"/>
    <x v="1"/>
    <x v="8"/>
    <n v="62"/>
    <n v="4.99"/>
    <n v="309.38"/>
    <s v="Online"/>
    <n v="30"/>
    <n v="0"/>
    <n v="82"/>
    <x v="0"/>
  </r>
  <r>
    <x v="33"/>
    <x v="1"/>
    <x v="3"/>
    <s v="Lt"/>
    <s v="Morgan"/>
    <s v="P034"/>
    <x v="33"/>
    <x v="2"/>
    <x v="7"/>
    <n v="55"/>
    <n v="12.49"/>
    <n v="686.95"/>
    <s v="Online"/>
    <n v="37"/>
    <n v="0"/>
    <n v="87"/>
    <x v="1"/>
  </r>
  <r>
    <x v="34"/>
    <x v="1"/>
    <x v="1"/>
    <s v="Lt"/>
    <s v="Kivell"/>
    <s v="P035"/>
    <x v="34"/>
    <x v="3"/>
    <x v="7"/>
    <n v="42"/>
    <n v="23.95"/>
    <n v="1005.9"/>
    <s v="Online"/>
    <n v="39"/>
    <n v="0"/>
    <n v="58"/>
    <x v="1"/>
  </r>
  <r>
    <x v="35"/>
    <x v="2"/>
    <x v="4"/>
    <s v="Kg"/>
    <s v="Sorvino"/>
    <s v="P036"/>
    <x v="35"/>
    <x v="4"/>
    <x v="6"/>
    <n v="3"/>
    <n v="275"/>
    <n v="825"/>
    <s v="Cash"/>
    <n v="11"/>
    <n v="0"/>
    <n v="63"/>
    <x v="2"/>
  </r>
  <r>
    <x v="36"/>
    <x v="1"/>
    <x v="2"/>
    <s v="No"/>
    <s v="Gill"/>
    <s v="P037"/>
    <x v="36"/>
    <x v="0"/>
    <x v="4"/>
    <n v="7"/>
    <n v="1.29"/>
    <n v="9.0300000000000011"/>
    <s v="Cash"/>
    <n v="19"/>
    <n v="0"/>
    <n v="72"/>
    <x v="1"/>
  </r>
  <r>
    <x v="37"/>
    <x v="2"/>
    <x v="4"/>
    <s v="Kg"/>
    <s v="Sorvino"/>
    <s v="P038"/>
    <x v="37"/>
    <x v="1"/>
    <x v="3"/>
    <n v="76"/>
    <n v="1.99"/>
    <n v="151.24"/>
    <s v="Cash"/>
    <n v="36"/>
    <n v="0"/>
    <n v="71"/>
    <x v="2"/>
  </r>
  <r>
    <x v="38"/>
    <x v="2"/>
    <x v="4"/>
    <s v="No"/>
    <s v="Thompson"/>
    <s v="P039"/>
    <x v="38"/>
    <x v="2"/>
    <x v="1"/>
    <n v="57"/>
    <n v="19.989999999999998"/>
    <n v="1139.4299999999998"/>
    <s v="Cash"/>
    <n v="15"/>
    <n v="0"/>
    <n v="80"/>
    <x v="2"/>
  </r>
  <r>
    <x v="39"/>
    <x v="1"/>
    <x v="1"/>
    <s v="Lt"/>
    <s v="Andrews"/>
    <s v="P040"/>
    <x v="39"/>
    <x v="3"/>
    <x v="0"/>
    <n v="14"/>
    <n v="1.29"/>
    <n v="18.060000000000002"/>
    <s v="Cash"/>
    <n v="10"/>
    <n v="0"/>
    <n v="63"/>
    <x v="1"/>
  </r>
  <r>
    <x v="40"/>
    <x v="1"/>
    <x v="3"/>
    <s v="Ft"/>
    <s v="Jardine"/>
    <s v="P041"/>
    <x v="40"/>
    <x v="4"/>
    <x v="5"/>
    <n v="11"/>
    <n v="4.99"/>
    <n v="54.89"/>
    <s v="Online"/>
    <n v="40"/>
    <n v="0"/>
    <n v="67"/>
    <x v="1"/>
  </r>
  <r>
    <x v="41"/>
    <x v="1"/>
    <x v="4"/>
    <s v="Ft"/>
    <s v="Jardine"/>
    <s v="P042"/>
    <x v="41"/>
    <x v="0"/>
    <x v="1"/>
    <n v="94"/>
    <n v="19.989999999999998"/>
    <n v="1879.06"/>
    <s v="Cash"/>
    <n v="50"/>
    <n v="0"/>
    <n v="69"/>
    <x v="1"/>
  </r>
  <r>
    <x v="42"/>
    <x v="1"/>
    <x v="4"/>
    <s v="Lt"/>
    <s v="Andrews"/>
    <s v="P043"/>
    <x v="42"/>
    <x v="1"/>
    <x v="5"/>
    <n v="28"/>
    <n v="4.99"/>
    <n v="139.72"/>
    <s v="Cash"/>
    <n v="28"/>
    <n v="0"/>
    <n v="52"/>
    <x v="1"/>
  </r>
  <r>
    <x v="43"/>
    <x v="2"/>
    <x v="1"/>
    <s v="Kg"/>
    <s v="Jones"/>
    <s v="P044"/>
    <x v="43"/>
    <x v="2"/>
    <x v="4"/>
    <n v="15"/>
    <n v="19.989999999999998"/>
    <n v="299.84999999999997"/>
    <s v="Cash"/>
    <n v="25"/>
    <n v="0"/>
    <n v="88"/>
    <x v="2"/>
  </r>
  <r>
    <x v="44"/>
    <x v="0"/>
    <x v="5"/>
    <s v="Kg"/>
    <s v="Smith"/>
    <s v="P045"/>
    <x v="44"/>
    <x v="3"/>
    <x v="6"/>
    <n v="96"/>
    <n v="4.99"/>
    <n v="479.04"/>
    <s v="Online"/>
    <n v="30"/>
    <n v="0"/>
    <n v="82"/>
    <x v="0"/>
  </r>
  <r>
    <x v="45"/>
    <x v="1"/>
    <x v="3"/>
    <s v="Kg"/>
    <s v="Jones"/>
    <s v="P046"/>
    <x v="45"/>
    <x v="4"/>
    <x v="8"/>
    <n v="67"/>
    <n v="1.29"/>
    <n v="86.43"/>
    <s v="Online"/>
    <n v="17"/>
    <n v="0"/>
    <n v="52"/>
    <x v="1"/>
  </r>
  <r>
    <x v="46"/>
    <x v="1"/>
    <x v="2"/>
    <s v="Lt"/>
    <s v="Morgan"/>
    <s v="P047"/>
    <x v="46"/>
    <x v="0"/>
    <x v="1"/>
    <n v="74"/>
    <n v="15.99"/>
    <n v="1183.26"/>
    <s v="Online"/>
    <n v="47"/>
    <n v="0"/>
    <n v="83"/>
    <x v="1"/>
  </r>
  <r>
    <x v="47"/>
    <x v="2"/>
    <x v="1"/>
    <s v="Kg"/>
    <s v="Jones"/>
    <s v="P048"/>
    <x v="47"/>
    <x v="1"/>
    <x v="3"/>
    <n v="46"/>
    <n v="8.99"/>
    <n v="413.54"/>
    <s v="Cash"/>
    <n v="24"/>
    <n v="0"/>
    <n v="50"/>
    <x v="2"/>
  </r>
  <r>
    <x v="48"/>
    <x v="0"/>
    <x v="6"/>
    <s v="No"/>
    <s v="Parent"/>
    <s v="P049"/>
    <x v="48"/>
    <x v="2"/>
    <x v="3"/>
    <n v="87"/>
    <n v="15"/>
    <n v="1305"/>
    <s v="Cash"/>
    <n v="43"/>
    <n v="0"/>
    <n v="58"/>
    <x v="0"/>
  </r>
  <r>
    <x v="49"/>
    <x v="1"/>
    <x v="1"/>
    <s v="Lt"/>
    <s v="Kivell"/>
    <s v="P050"/>
    <x v="49"/>
    <x v="3"/>
    <x v="8"/>
    <n v="4"/>
    <n v="4.99"/>
    <n v="19.96"/>
    <s v="Online"/>
    <n v="32"/>
    <n v="0"/>
    <n v="63"/>
    <x v="1"/>
  </r>
  <r>
    <x v="50"/>
    <x v="0"/>
    <x v="5"/>
    <s v="Kg"/>
    <s v="Smith"/>
    <s v="P051"/>
    <x v="50"/>
    <x v="4"/>
    <x v="0"/>
    <n v="7"/>
    <n v="19.989999999999998"/>
    <n v="139.92999999999998"/>
    <s v="Cash"/>
    <n v="18"/>
    <n v="0"/>
    <n v="72"/>
    <x v="0"/>
  </r>
  <r>
    <x v="51"/>
    <x v="0"/>
    <x v="6"/>
    <s v="No"/>
    <s v="Parent"/>
    <s v="P052"/>
    <x v="51"/>
    <x v="0"/>
    <x v="7"/>
    <n v="50"/>
    <n v="4.99"/>
    <n v="249.5"/>
    <s v="Cash"/>
    <n v="27"/>
    <n v="0"/>
    <n v="71"/>
    <x v="0"/>
  </r>
  <r>
    <x v="52"/>
    <x v="0"/>
    <x v="6"/>
    <s v="No"/>
    <s v="Gill"/>
    <s v="P053"/>
    <x v="52"/>
    <x v="1"/>
    <x v="8"/>
    <n v="66"/>
    <n v="1.99"/>
    <n v="131.34"/>
    <s v="Online"/>
    <n v="46"/>
    <n v="0"/>
    <n v="80"/>
    <x v="0"/>
  </r>
  <r>
    <x v="53"/>
    <x v="1"/>
    <x v="3"/>
    <s v="Kg"/>
    <s v="Smith"/>
    <s v="P054"/>
    <x v="53"/>
    <x v="2"/>
    <x v="1"/>
    <n v="96"/>
    <n v="4.99"/>
    <n v="479.04"/>
    <s v="Online"/>
    <n v="46"/>
    <n v="0"/>
    <n v="63"/>
    <x v="1"/>
  </r>
  <r>
    <x v="54"/>
    <x v="0"/>
    <x v="5"/>
    <s v="Kg"/>
    <s v="Jones"/>
    <s v="P055"/>
    <x v="54"/>
    <x v="3"/>
    <x v="1"/>
    <n v="53"/>
    <n v="1.29"/>
    <n v="68.37"/>
    <s v="Cash"/>
    <n v="44"/>
    <n v="0"/>
    <n v="67"/>
    <x v="0"/>
  </r>
  <r>
    <x v="55"/>
    <x v="1"/>
    <x v="1"/>
    <s v="Kg"/>
    <s v="Sorvino"/>
    <s v="P056"/>
    <x v="55"/>
    <x v="4"/>
    <x v="5"/>
    <n v="80"/>
    <n v="8.99"/>
    <n v="719.2"/>
    <s v="Cash"/>
    <n v="30"/>
    <n v="0"/>
    <n v="69"/>
    <x v="1"/>
  </r>
  <r>
    <x v="56"/>
    <x v="0"/>
    <x v="6"/>
    <s v="Ft"/>
    <s v="Jardine"/>
    <s v="P057"/>
    <x v="56"/>
    <x v="0"/>
    <x v="7"/>
    <n v="5"/>
    <n v="125"/>
    <n v="625"/>
    <s v="Cash"/>
    <n v="37"/>
    <n v="0"/>
    <n v="52"/>
    <x v="0"/>
  </r>
  <r>
    <x v="57"/>
    <x v="0"/>
    <x v="5"/>
    <s v="Lt"/>
    <s v="Andrews"/>
    <s v="P058"/>
    <x v="57"/>
    <x v="1"/>
    <x v="4"/>
    <n v="62"/>
    <n v="4.99"/>
    <n v="309.38"/>
    <s v="Online"/>
    <n v="39"/>
    <n v="0"/>
    <n v="88"/>
    <x v="0"/>
  </r>
  <r>
    <x v="58"/>
    <x v="2"/>
    <x v="4"/>
    <s v="Ft"/>
    <s v="Howard"/>
    <s v="P059"/>
    <x v="58"/>
    <x v="2"/>
    <x v="3"/>
    <n v="55"/>
    <n v="12.49"/>
    <n v="686.95"/>
    <s v="Online"/>
    <n v="11"/>
    <n v="0"/>
    <n v="82"/>
    <x v="2"/>
  </r>
  <r>
    <x v="59"/>
    <x v="1"/>
    <x v="3"/>
    <s v="No"/>
    <s v="Gill"/>
    <s v="P060"/>
    <x v="59"/>
    <x v="3"/>
    <x v="0"/>
    <n v="42"/>
    <n v="23.95"/>
    <n v="1005.9"/>
    <s v="Cash"/>
    <n v="19"/>
    <n v="0"/>
    <n v="52"/>
    <x v="1"/>
  </r>
  <r>
    <x v="60"/>
    <x v="2"/>
    <x v="4"/>
    <s v="No"/>
    <s v="Gill"/>
    <s v="P061"/>
    <x v="60"/>
    <x v="4"/>
    <x v="1"/>
    <n v="56"/>
    <n v="2.99"/>
    <n v="167.44"/>
    <s v="Cash"/>
    <n v="36"/>
    <n v="0"/>
    <n v="83"/>
    <x v="2"/>
  </r>
  <r>
    <x v="61"/>
    <x v="2"/>
    <x v="1"/>
    <s v="Lt"/>
    <s v="Kivell"/>
    <s v="P062"/>
    <x v="61"/>
    <x v="0"/>
    <x v="6"/>
    <n v="60"/>
    <n v="4.99"/>
    <n v="299.40000000000003"/>
    <s v="Cash"/>
    <n v="15"/>
    <n v="0"/>
    <n v="50"/>
    <x v="2"/>
  </r>
  <r>
    <x v="62"/>
    <x v="1"/>
    <x v="2"/>
    <s v="Kg"/>
    <s v="Jones"/>
    <s v="P063"/>
    <x v="62"/>
    <x v="1"/>
    <x v="7"/>
    <n v="75"/>
    <n v="1.99"/>
    <n v="149.25"/>
    <s v="Cash"/>
    <n v="10"/>
    <n v="0"/>
    <n v="52"/>
    <x v="1"/>
  </r>
  <r>
    <x v="63"/>
    <x v="1"/>
    <x v="1"/>
    <s v="Lt"/>
    <s v="Morgan"/>
    <s v="P064"/>
    <x v="63"/>
    <x v="2"/>
    <x v="8"/>
    <n v="90"/>
    <n v="4.99"/>
    <n v="449.1"/>
    <s v="Online"/>
    <n v="40"/>
    <n v="0"/>
    <n v="8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60:B70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5"/>
        <item x="2"/>
        <item x="3"/>
        <item x="4"/>
        <item x="6"/>
        <item x="0"/>
        <item x="1"/>
        <item t="default"/>
      </items>
    </pivotField>
    <pivotField showAll="0"/>
    <pivotField showAll="0"/>
    <pivotField showAll="0"/>
    <pivotField showAll="0">
      <items count="65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0">
        <item x="1"/>
        <item x="2"/>
        <item x="4"/>
        <item x="6"/>
        <item x="8"/>
        <item x="5"/>
        <item x="3"/>
        <item x="7"/>
        <item x="0"/>
        <item t="default"/>
      </items>
    </pivotField>
    <pivotField showAll="0"/>
    <pivotField numFmtId="170" showAll="0"/>
    <pivotField numFmtId="170" showAll="0"/>
    <pivotField showAll="0"/>
    <pivotField dataField="1" numFmtId="171" showAll="0"/>
    <pivotField numFmtId="172" showAll="0"/>
    <pivotField numFmtId="171" showAll="0"/>
    <pivotField showAll="0">
      <items count="4">
        <item x="1"/>
        <item x="2"/>
        <item x="0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Buying Price" fld="13" baseField="0" baseItem="0"/>
  </dataField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0:B57" firstHeaderRow="1" firstDataRow="1" firstDataCol="1"/>
  <pivotFields count="19">
    <pivotField axis="axisRow" numFmtId="1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5"/>
        <item x="2"/>
        <item x="3"/>
        <item x="4"/>
        <item x="6"/>
        <item x="0"/>
        <item x="1"/>
        <item t="default"/>
      </items>
    </pivotField>
    <pivotField showAll="0"/>
    <pivotField showAll="0"/>
    <pivotField showAll="0"/>
    <pivotField showAll="0">
      <items count="65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0">
        <item x="1"/>
        <item x="2"/>
        <item x="4"/>
        <item x="6"/>
        <item x="8"/>
        <item x="5"/>
        <item x="3"/>
        <item x="7"/>
        <item x="0"/>
        <item t="default"/>
      </items>
    </pivotField>
    <pivotField showAll="0"/>
    <pivotField numFmtId="170" showAll="0"/>
    <pivotField numFmtId="170" showAll="0"/>
    <pivotField showAll="0"/>
    <pivotField numFmtId="171" showAll="0"/>
    <pivotField numFmtId="172" showAll="0"/>
    <pivotField dataField="1" numFmtId="171" showAll="0"/>
    <pivotField showAll="0">
      <items count="4">
        <item x="1"/>
        <item x="2"/>
        <item x="0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8"/>
    <field x="0"/>
    <field x="8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elling Price" fld="15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3:B27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5"/>
        <item x="2"/>
        <item x="3"/>
        <item x="4"/>
        <item x="6"/>
        <item x="0"/>
        <item x="1"/>
        <item t="default"/>
      </items>
    </pivotField>
    <pivotField showAll="0"/>
    <pivotField showAll="0"/>
    <pivotField showAll="0"/>
    <pivotField showAll="0">
      <items count="65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numFmtId="170" showAll="0"/>
    <pivotField numFmtId="170" showAll="0"/>
    <pivotField showAll="0"/>
    <pivotField numFmtId="171" showAll="0"/>
    <pivotField numFmtId="172" showAll="0"/>
    <pivotField numFmtId="171" showAll="0"/>
    <pivotField axis="axisRow" showAll="0">
      <items count="4">
        <item x="1"/>
        <item x="2"/>
        <item x="0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 Cost" fld="10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2:B20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5"/>
        <item x="2"/>
        <item x="3"/>
        <item x="4"/>
        <item x="6"/>
        <item x="0"/>
        <item x="1"/>
        <item t="default"/>
      </items>
    </pivotField>
    <pivotField showAll="0"/>
    <pivotField showAll="0"/>
    <pivotField showAll="0"/>
    <pivotField showAll="0">
      <items count="65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"/>
        <item x="7"/>
        <item x="8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numFmtId="170" showAll="0"/>
    <pivotField numFmtId="170" showAll="0"/>
    <pivotField showAll="0"/>
    <pivotField numFmtId="171" showAll="0"/>
    <pivotField numFmtId="172" showAll="0"/>
    <pivotField numFmtId="17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9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9" firstHeaderRow="1" firstDataRow="1" firstDataCol="1"/>
  <pivotFields count="1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>
      <items count="65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"/>
        <item x="7"/>
        <item x="8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70" showAll="0"/>
    <pivotField dataField="1" numFmtId="170" showAll="0"/>
    <pivotField showAll="0"/>
    <pivotField numFmtId="171" showAll="0"/>
    <pivotField numFmtId="172" showAll="0"/>
    <pivotField numFmtId="171"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12">
    <pivotField numFmtId="169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axis="axisPage" showAll="0">
      <items count="8">
        <item x="5"/>
        <item x="2"/>
        <item x="3"/>
        <item x="4"/>
        <item x="6"/>
        <item x="0"/>
        <item x="1"/>
        <item t="default"/>
      </items>
    </pivotField>
    <pivotField showAll="0"/>
    <pivotField axis="axisRow" showAll="0">
      <items count="9">
        <item x="1"/>
        <item x="5"/>
        <item x="2"/>
        <item x="6"/>
        <item x="0"/>
        <item x="3"/>
        <item x="4"/>
        <item x="7"/>
        <item t="default"/>
      </items>
    </pivotField>
    <pivotField dataField="1" showAll="0"/>
    <pivotField numFmtId="164" showAll="0"/>
    <pivotField dataField="1" numFmtId="164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Quantity" fld="5" baseField="0" baseItem="0"/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Data" displayName="Data" ref="A1:F10" totalsRowShown="0">
  <autoFilter ref="A1:F10"/>
  <tableColumns count="6">
    <tableColumn id="1" name="Country" dataDxfId="6" dataCellStyle="Normal 2"/>
    <tableColumn id="2" name="Customer" dataDxfId="5" dataCellStyle="Normal 2"/>
    <tableColumn id="3" name="Item" dataDxfId="4" dataCellStyle="Normal_TapePivot"/>
    <tableColumn id="4" name="Quantity" dataDxfId="3" dataCellStyle="Normal 2"/>
    <tableColumn id="5" name="Unit Cost" dataDxfId="2" dataCellStyle="Comma 3"/>
    <tableColumn id="6" name="Revenue" dataDxfId="1" dataCellStyle="Comma 3">
      <calculatedColumnFormula>E2*D2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8"/>
  <sheetViews>
    <sheetView showGridLines="0" zoomScale="110" zoomScaleNormal="110" workbookViewId="0">
      <selection activeCell="A2" sqref="A2"/>
    </sheetView>
  </sheetViews>
  <sheetFormatPr defaultRowHeight="12.75" x14ac:dyDescent="0.2"/>
  <cols>
    <col min="1" max="1" width="10.140625" bestFit="1" customWidth="1"/>
    <col min="2" max="2" width="12.5703125" customWidth="1"/>
    <col min="3" max="3" width="1.5703125" customWidth="1"/>
    <col min="4" max="4" width="12.42578125" customWidth="1"/>
    <col min="5" max="5" width="26.42578125" customWidth="1"/>
    <col min="7" max="7" width="10.140625" bestFit="1" customWidth="1"/>
  </cols>
  <sheetData>
    <row r="1" spans="1:8" s="20" customFormat="1" ht="20.100000000000001" customHeight="1" x14ac:dyDescent="0.2">
      <c r="A1" s="21" t="s">
        <v>0</v>
      </c>
      <c r="B1" s="21" t="s">
        <v>1</v>
      </c>
      <c r="D1" s="21" t="s">
        <v>2</v>
      </c>
      <c r="E1" s="21" t="s">
        <v>3</v>
      </c>
    </row>
    <row r="2" spans="1:8" x14ac:dyDescent="0.2">
      <c r="A2" s="1"/>
      <c r="B2" s="1"/>
      <c r="C2" s="1"/>
      <c r="G2" s="1"/>
    </row>
    <row r="3" spans="1:8" x14ac:dyDescent="0.2">
      <c r="A3" s="1"/>
      <c r="B3" s="1"/>
      <c r="C3" s="1"/>
    </row>
    <row r="4" spans="1:8" x14ac:dyDescent="0.2">
      <c r="A4" s="1"/>
      <c r="B4" s="1"/>
      <c r="C4" s="1"/>
    </row>
    <row r="5" spans="1:8" x14ac:dyDescent="0.2">
      <c r="A5" s="1"/>
      <c r="B5" s="1"/>
      <c r="C5" s="1"/>
      <c r="G5" s="1"/>
      <c r="H5" s="1"/>
    </row>
    <row r="6" spans="1:8" x14ac:dyDescent="0.2">
      <c r="A6" s="1"/>
      <c r="B6" s="1"/>
      <c r="C6" s="1"/>
      <c r="H6" s="1"/>
    </row>
    <row r="7" spans="1:8" x14ac:dyDescent="0.2">
      <c r="A7" s="1"/>
      <c r="B7" s="1"/>
      <c r="C7" s="1"/>
      <c r="H7" s="1"/>
    </row>
    <row r="8" spans="1:8" x14ac:dyDescent="0.2">
      <c r="A8" s="1"/>
      <c r="B8" s="1"/>
      <c r="C8" s="1"/>
      <c r="H8" s="1"/>
    </row>
    <row r="9" spans="1:8" x14ac:dyDescent="0.2">
      <c r="A9" s="1"/>
      <c r="B9" s="1"/>
      <c r="C9" s="1"/>
    </row>
    <row r="10" spans="1:8" x14ac:dyDescent="0.2">
      <c r="A10" s="1"/>
      <c r="B10" s="1"/>
      <c r="C10" s="1"/>
    </row>
    <row r="11" spans="1:8" x14ac:dyDescent="0.2">
      <c r="A11" s="1"/>
      <c r="B11" s="1"/>
      <c r="C11" s="1"/>
    </row>
    <row r="12" spans="1:8" x14ac:dyDescent="0.2">
      <c r="A12" s="1"/>
      <c r="B12" s="1"/>
      <c r="C12" s="1"/>
    </row>
    <row r="13" spans="1:8" x14ac:dyDescent="0.2">
      <c r="A13" s="1"/>
      <c r="B13" s="1"/>
      <c r="C13" s="1"/>
    </row>
    <row r="14" spans="1:8" x14ac:dyDescent="0.2">
      <c r="A14" s="1"/>
      <c r="B14" s="1"/>
      <c r="C14" s="1"/>
    </row>
    <row r="15" spans="1:8" x14ac:dyDescent="0.2">
      <c r="A15" s="1"/>
      <c r="B15" s="1"/>
      <c r="C15" s="1"/>
    </row>
    <row r="16" spans="1:8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</row>
    <row r="368" spans="1:3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zoomScale="110" zoomScaleNormal="110" workbookViewId="0">
      <selection activeCell="C25" sqref="C25"/>
    </sheetView>
  </sheetViews>
  <sheetFormatPr defaultRowHeight="12.75" x14ac:dyDescent="0.2"/>
  <cols>
    <col min="1" max="1" width="11" bestFit="1" customWidth="1"/>
  </cols>
  <sheetData>
    <row r="1" spans="1:8" ht="20.100000000000001" customHeight="1" x14ac:dyDescent="0.2">
      <c r="A1" s="22" t="s">
        <v>4</v>
      </c>
      <c r="B1" s="23" t="s">
        <v>5</v>
      </c>
      <c r="C1" s="23" t="s">
        <v>6</v>
      </c>
      <c r="D1" s="23" t="s">
        <v>7</v>
      </c>
      <c r="E1" s="23" t="s">
        <v>8</v>
      </c>
      <c r="F1" s="23" t="s">
        <v>9</v>
      </c>
      <c r="G1" s="23" t="s">
        <v>10</v>
      </c>
      <c r="H1" s="23" t="s">
        <v>11</v>
      </c>
    </row>
    <row r="2" spans="1:8" x14ac:dyDescent="0.2">
      <c r="A2" s="2" t="s">
        <v>12</v>
      </c>
      <c r="B2" s="2">
        <v>13</v>
      </c>
      <c r="C2" s="2">
        <v>19</v>
      </c>
      <c r="D2" s="2">
        <v>16</v>
      </c>
      <c r="E2" s="2">
        <v>16</v>
      </c>
      <c r="F2" s="2">
        <v>17</v>
      </c>
      <c r="G2" s="2">
        <v>20</v>
      </c>
      <c r="H2" s="2"/>
    </row>
    <row r="3" spans="1:8" x14ac:dyDescent="0.2">
      <c r="A3" s="2" t="s">
        <v>13</v>
      </c>
      <c r="B3" s="2">
        <v>11</v>
      </c>
      <c r="C3" s="2">
        <v>20</v>
      </c>
      <c r="D3" s="2">
        <v>17</v>
      </c>
      <c r="E3" s="2">
        <v>19</v>
      </c>
      <c r="F3" s="2">
        <v>12</v>
      </c>
      <c r="G3" s="2">
        <v>16</v>
      </c>
      <c r="H3" s="2"/>
    </row>
    <row r="4" spans="1:8" x14ac:dyDescent="0.2">
      <c r="A4" s="2" t="s">
        <v>14</v>
      </c>
      <c r="B4" s="2">
        <v>19</v>
      </c>
      <c r="C4" s="2">
        <v>15</v>
      </c>
      <c r="D4" s="2">
        <v>16</v>
      </c>
      <c r="E4" s="2">
        <v>16</v>
      </c>
      <c r="F4" s="2">
        <v>11</v>
      </c>
      <c r="G4" s="2">
        <v>20</v>
      </c>
      <c r="H4" s="2"/>
    </row>
    <row r="5" spans="1:8" x14ac:dyDescent="0.2">
      <c r="A5" s="2" t="s">
        <v>15</v>
      </c>
      <c r="B5" s="2">
        <v>11</v>
      </c>
      <c r="C5" s="2">
        <v>20</v>
      </c>
      <c r="D5" s="2">
        <v>16</v>
      </c>
      <c r="E5" s="2">
        <v>10</v>
      </c>
      <c r="F5" s="2">
        <v>17</v>
      </c>
      <c r="G5" s="2">
        <v>15</v>
      </c>
      <c r="H5" s="2"/>
    </row>
    <row r="6" spans="1:8" x14ac:dyDescent="0.2">
      <c r="A6" s="2" t="s">
        <v>11</v>
      </c>
      <c r="B6" s="2"/>
      <c r="C6" s="2"/>
      <c r="D6" s="2"/>
      <c r="E6" s="2"/>
      <c r="F6" s="2"/>
      <c r="G6" s="2"/>
      <c r="H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showGridLines="0" zoomScale="110" zoomScaleNormal="110" workbookViewId="0">
      <selection activeCell="D13" sqref="D13"/>
    </sheetView>
  </sheetViews>
  <sheetFormatPr defaultRowHeight="12.75" x14ac:dyDescent="0.2"/>
  <sheetData>
    <row r="1" spans="1:7" ht="20.100000000000001" customHeight="1" x14ac:dyDescent="0.2">
      <c r="A1" s="22" t="s">
        <v>0</v>
      </c>
      <c r="B1" s="23" t="s">
        <v>5</v>
      </c>
      <c r="C1" s="23" t="s">
        <v>6</v>
      </c>
      <c r="D1" s="23" t="s">
        <v>7</v>
      </c>
      <c r="E1" s="23" t="s">
        <v>8</v>
      </c>
      <c r="F1" s="23" t="s">
        <v>9</v>
      </c>
      <c r="G1" s="23" t="s">
        <v>10</v>
      </c>
    </row>
    <row r="2" spans="1:7" x14ac:dyDescent="0.2">
      <c r="A2" s="3" t="s">
        <v>16</v>
      </c>
      <c r="B2" s="4">
        <v>13164</v>
      </c>
      <c r="C2" s="4">
        <v>9873</v>
      </c>
      <c r="D2" s="4">
        <v>35000</v>
      </c>
      <c r="E2" s="4">
        <v>30818</v>
      </c>
      <c r="F2" s="4">
        <v>26297</v>
      </c>
      <c r="G2" s="4">
        <v>18963</v>
      </c>
    </row>
    <row r="3" spans="1:7" x14ac:dyDescent="0.2">
      <c r="A3" s="3" t="s">
        <v>17</v>
      </c>
      <c r="B3" s="4">
        <v>17746</v>
      </c>
      <c r="C3" s="4">
        <v>13537</v>
      </c>
      <c r="D3" s="4">
        <v>19788</v>
      </c>
      <c r="E3" s="4">
        <v>14947</v>
      </c>
      <c r="F3" s="4">
        <v>25808</v>
      </c>
      <c r="G3" s="4">
        <v>49317</v>
      </c>
    </row>
    <row r="4" spans="1:7" x14ac:dyDescent="0.2">
      <c r="A4" s="3" t="s">
        <v>18</v>
      </c>
      <c r="B4" s="4">
        <v>40317</v>
      </c>
      <c r="C4" s="4">
        <v>38992</v>
      </c>
      <c r="D4" s="4">
        <v>23041</v>
      </c>
      <c r="E4" s="4">
        <v>21727</v>
      </c>
      <c r="F4" s="4">
        <v>33090</v>
      </c>
      <c r="G4" s="4">
        <v>6385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zoomScale="110" zoomScaleNormal="110" workbookViewId="0">
      <selection sqref="A1:G1"/>
    </sheetView>
  </sheetViews>
  <sheetFormatPr defaultRowHeight="12.75" x14ac:dyDescent="0.2"/>
  <cols>
    <col min="1" max="1" width="14.85546875" bestFit="1" customWidth="1"/>
    <col min="2" max="2" width="20.85546875" bestFit="1" customWidth="1"/>
    <col min="3" max="3" width="15.28515625" bestFit="1" customWidth="1"/>
    <col min="4" max="4" width="11" bestFit="1" customWidth="1"/>
    <col min="5" max="5" width="9.42578125" bestFit="1" customWidth="1"/>
    <col min="6" max="6" width="10.28515625" bestFit="1" customWidth="1"/>
    <col min="7" max="7" width="14.5703125" bestFit="1" customWidth="1"/>
  </cols>
  <sheetData>
    <row r="1" spans="1:7" ht="20.100000000000001" customHeight="1" x14ac:dyDescent="0.2">
      <c r="A1" s="24" t="s">
        <v>19</v>
      </c>
      <c r="B1" s="24" t="s">
        <v>36</v>
      </c>
      <c r="C1" s="24" t="s">
        <v>20</v>
      </c>
      <c r="D1" s="24" t="s">
        <v>21</v>
      </c>
      <c r="E1" s="24" t="s">
        <v>22</v>
      </c>
      <c r="F1" s="24" t="s">
        <v>16</v>
      </c>
      <c r="G1" s="24" t="s">
        <v>23</v>
      </c>
    </row>
    <row r="2" spans="1:7" x14ac:dyDescent="0.2">
      <c r="A2" s="5">
        <v>44590</v>
      </c>
      <c r="B2" s="6" t="s">
        <v>28</v>
      </c>
      <c r="C2" s="2" t="s">
        <v>24</v>
      </c>
      <c r="D2" s="6">
        <v>12</v>
      </c>
      <c r="E2" s="6">
        <v>7</v>
      </c>
      <c r="F2" s="6">
        <v>11</v>
      </c>
      <c r="G2" s="6">
        <v>19</v>
      </c>
    </row>
    <row r="3" spans="1:7" x14ac:dyDescent="0.2">
      <c r="A3" s="5">
        <v>44590</v>
      </c>
      <c r="B3" s="6" t="s">
        <v>28</v>
      </c>
      <c r="C3" s="2" t="s">
        <v>24</v>
      </c>
      <c r="D3" s="6">
        <v>19</v>
      </c>
      <c r="E3" s="6">
        <v>9</v>
      </c>
      <c r="F3" s="6">
        <v>19</v>
      </c>
      <c r="G3" s="6">
        <v>24</v>
      </c>
    </row>
    <row r="4" spans="1:7" x14ac:dyDescent="0.2">
      <c r="A4" s="5">
        <v>44567</v>
      </c>
      <c r="B4" s="6" t="s">
        <v>29</v>
      </c>
      <c r="C4" s="2" t="s">
        <v>25</v>
      </c>
      <c r="D4" s="6">
        <v>12</v>
      </c>
      <c r="E4" s="6">
        <v>18</v>
      </c>
      <c r="F4" s="6">
        <v>19</v>
      </c>
      <c r="G4" s="6">
        <v>13</v>
      </c>
    </row>
    <row r="5" spans="1:7" x14ac:dyDescent="0.2">
      <c r="A5" s="5">
        <v>44567</v>
      </c>
      <c r="B5" s="6" t="s">
        <v>29</v>
      </c>
      <c r="C5" s="2" t="s">
        <v>25</v>
      </c>
      <c r="D5" s="6">
        <v>24</v>
      </c>
      <c r="E5" s="6">
        <v>21</v>
      </c>
      <c r="F5" s="6">
        <v>14</v>
      </c>
      <c r="G5" s="6">
        <v>24</v>
      </c>
    </row>
    <row r="6" spans="1:7" x14ac:dyDescent="0.2">
      <c r="A6" s="5">
        <v>44567</v>
      </c>
      <c r="B6" s="6" t="s">
        <v>29</v>
      </c>
      <c r="C6" s="2" t="s">
        <v>26</v>
      </c>
      <c r="D6" s="6">
        <v>9</v>
      </c>
      <c r="E6" s="6">
        <v>15</v>
      </c>
      <c r="F6" s="6">
        <v>18</v>
      </c>
      <c r="G6" s="6">
        <v>14</v>
      </c>
    </row>
    <row r="7" spans="1:7" x14ac:dyDescent="0.2">
      <c r="A7" s="5">
        <v>44575</v>
      </c>
      <c r="B7" s="2" t="s">
        <v>30</v>
      </c>
      <c r="C7" s="2" t="s">
        <v>25</v>
      </c>
      <c r="D7" s="6">
        <v>24</v>
      </c>
      <c r="E7" s="6">
        <v>13</v>
      </c>
      <c r="F7" s="6">
        <v>12</v>
      </c>
      <c r="G7" s="6">
        <v>15</v>
      </c>
    </row>
    <row r="8" spans="1:7" x14ac:dyDescent="0.2">
      <c r="A8" s="5">
        <v>44575</v>
      </c>
      <c r="B8" s="2" t="s">
        <v>30</v>
      </c>
      <c r="C8" s="2" t="s">
        <v>26</v>
      </c>
      <c r="D8" s="6">
        <v>24</v>
      </c>
      <c r="E8" s="6">
        <v>8</v>
      </c>
      <c r="F8" s="6">
        <v>13</v>
      </c>
      <c r="G8" s="6">
        <v>14</v>
      </c>
    </row>
    <row r="9" spans="1:7" x14ac:dyDescent="0.2">
      <c r="A9" s="5">
        <v>44583</v>
      </c>
      <c r="B9" s="2" t="s">
        <v>31</v>
      </c>
      <c r="C9" s="2" t="s">
        <v>25</v>
      </c>
      <c r="D9" s="6">
        <v>24</v>
      </c>
      <c r="E9" s="6">
        <v>24</v>
      </c>
      <c r="F9" s="6">
        <v>12</v>
      </c>
      <c r="G9" s="6">
        <v>15</v>
      </c>
    </row>
    <row r="10" spans="1:7" x14ac:dyDescent="0.2">
      <c r="A10" s="5">
        <v>44571</v>
      </c>
      <c r="B10" s="2" t="s">
        <v>35</v>
      </c>
      <c r="C10" s="2" t="s">
        <v>24</v>
      </c>
      <c r="D10" s="6">
        <v>22</v>
      </c>
      <c r="E10" s="6">
        <v>14</v>
      </c>
      <c r="F10" s="6">
        <v>12</v>
      </c>
      <c r="G10" s="6">
        <v>12</v>
      </c>
    </row>
    <row r="11" spans="1:7" x14ac:dyDescent="0.2">
      <c r="A11" s="5">
        <v>44592</v>
      </c>
      <c r="B11" s="2" t="s">
        <v>32</v>
      </c>
      <c r="C11" s="2" t="s">
        <v>24</v>
      </c>
      <c r="D11" s="6">
        <v>21</v>
      </c>
      <c r="E11" s="6">
        <v>10</v>
      </c>
      <c r="F11" s="6">
        <v>18</v>
      </c>
      <c r="G11" s="6">
        <v>20</v>
      </c>
    </row>
    <row r="12" spans="1:7" x14ac:dyDescent="0.2">
      <c r="A12" s="5">
        <v>44571</v>
      </c>
      <c r="B12" s="2" t="s">
        <v>35</v>
      </c>
      <c r="C12" s="2" t="s">
        <v>26</v>
      </c>
      <c r="D12" s="6">
        <v>17</v>
      </c>
      <c r="E12" s="6">
        <v>17</v>
      </c>
      <c r="F12" s="6">
        <v>13</v>
      </c>
      <c r="G12" s="6">
        <v>6</v>
      </c>
    </row>
    <row r="13" spans="1:7" x14ac:dyDescent="0.2">
      <c r="A13" s="5">
        <v>44591</v>
      </c>
      <c r="B13" s="2" t="s">
        <v>33</v>
      </c>
      <c r="C13" s="2" t="s">
        <v>25</v>
      </c>
      <c r="D13" s="6">
        <v>11</v>
      </c>
      <c r="E13" s="6">
        <v>14</v>
      </c>
      <c r="F13" s="6">
        <v>22</v>
      </c>
      <c r="G13" s="6">
        <v>20</v>
      </c>
    </row>
    <row r="14" spans="1:7" x14ac:dyDescent="0.2">
      <c r="A14" s="5">
        <v>44591</v>
      </c>
      <c r="B14" s="2" t="s">
        <v>33</v>
      </c>
      <c r="C14" s="2" t="s">
        <v>24</v>
      </c>
      <c r="D14" s="6">
        <v>11</v>
      </c>
      <c r="E14" s="6">
        <v>9</v>
      </c>
      <c r="F14" s="6">
        <v>21</v>
      </c>
      <c r="G14" s="6">
        <v>13</v>
      </c>
    </row>
    <row r="15" spans="1:7" x14ac:dyDescent="0.2">
      <c r="A15" s="5">
        <v>44571</v>
      </c>
      <c r="B15" s="2" t="s">
        <v>35</v>
      </c>
      <c r="C15" s="2" t="s">
        <v>24</v>
      </c>
      <c r="D15" s="6">
        <v>15</v>
      </c>
      <c r="E15" s="6">
        <v>7</v>
      </c>
      <c r="F15" s="6">
        <v>10</v>
      </c>
      <c r="G15" s="6">
        <v>13</v>
      </c>
    </row>
    <row r="16" spans="1:7" x14ac:dyDescent="0.2">
      <c r="A16" s="5">
        <v>44591</v>
      </c>
      <c r="B16" s="2" t="s">
        <v>33</v>
      </c>
      <c r="C16" s="2" t="s">
        <v>25</v>
      </c>
      <c r="D16" s="6">
        <v>24</v>
      </c>
      <c r="E16" s="6">
        <v>22</v>
      </c>
      <c r="F16" s="6">
        <v>20</v>
      </c>
      <c r="G16" s="6">
        <v>11</v>
      </c>
    </row>
    <row r="17" spans="1:7" x14ac:dyDescent="0.2">
      <c r="A17" s="5">
        <v>44592</v>
      </c>
      <c r="B17" s="2" t="s">
        <v>32</v>
      </c>
      <c r="C17" s="2" t="s">
        <v>24</v>
      </c>
      <c r="D17" s="6">
        <v>15</v>
      </c>
      <c r="E17" s="6">
        <v>7</v>
      </c>
      <c r="F17" s="6">
        <v>20</v>
      </c>
      <c r="G17" s="6">
        <v>14</v>
      </c>
    </row>
    <row r="18" spans="1:7" x14ac:dyDescent="0.2">
      <c r="A18" s="5">
        <v>44573</v>
      </c>
      <c r="B18" s="2" t="s">
        <v>27</v>
      </c>
      <c r="C18" s="2" t="s">
        <v>24</v>
      </c>
      <c r="D18" s="6">
        <v>22</v>
      </c>
      <c r="E18" s="6">
        <v>8</v>
      </c>
      <c r="F18" s="6">
        <v>24</v>
      </c>
      <c r="G18" s="6">
        <v>16</v>
      </c>
    </row>
    <row r="19" spans="1:7" x14ac:dyDescent="0.2">
      <c r="A19" s="5">
        <v>44573</v>
      </c>
      <c r="B19" s="2" t="s">
        <v>27</v>
      </c>
      <c r="C19" s="2" t="s">
        <v>24</v>
      </c>
      <c r="D19" s="6">
        <v>7</v>
      </c>
      <c r="E19" s="6">
        <v>21</v>
      </c>
      <c r="F19" s="6">
        <v>17</v>
      </c>
      <c r="G19" s="6">
        <v>23</v>
      </c>
    </row>
    <row r="20" spans="1:7" x14ac:dyDescent="0.2">
      <c r="A20" s="5">
        <v>44573</v>
      </c>
      <c r="B20" s="2" t="s">
        <v>27</v>
      </c>
      <c r="C20" s="2" t="s">
        <v>26</v>
      </c>
      <c r="D20" s="6">
        <v>18</v>
      </c>
      <c r="E20" s="6">
        <v>14</v>
      </c>
      <c r="F20" s="6">
        <v>19</v>
      </c>
      <c r="G20" s="6">
        <v>14</v>
      </c>
    </row>
    <row r="21" spans="1:7" x14ac:dyDescent="0.2">
      <c r="A21" s="5">
        <v>44574</v>
      </c>
      <c r="B21" s="2" t="s">
        <v>32</v>
      </c>
      <c r="C21" s="2" t="s">
        <v>26</v>
      </c>
      <c r="D21" s="6">
        <v>12</v>
      </c>
      <c r="E21" s="6">
        <v>7</v>
      </c>
      <c r="F21" s="6">
        <v>24</v>
      </c>
      <c r="G21" s="6">
        <v>21</v>
      </c>
    </row>
    <row r="22" spans="1:7" x14ac:dyDescent="0.2">
      <c r="A22" s="5">
        <v>44574</v>
      </c>
      <c r="B22" s="2" t="s">
        <v>32</v>
      </c>
      <c r="C22" s="2" t="s">
        <v>26</v>
      </c>
      <c r="D22" s="6">
        <v>11</v>
      </c>
      <c r="E22" s="6">
        <v>9</v>
      </c>
      <c r="F22" s="6">
        <v>17</v>
      </c>
      <c r="G22" s="6">
        <v>21</v>
      </c>
    </row>
    <row r="23" spans="1:7" x14ac:dyDescent="0.2">
      <c r="A23" s="5">
        <v>44568</v>
      </c>
      <c r="B23" s="2" t="s">
        <v>34</v>
      </c>
      <c r="C23" s="2" t="s">
        <v>24</v>
      </c>
      <c r="D23" s="6">
        <v>21</v>
      </c>
      <c r="E23" s="6">
        <v>23</v>
      </c>
      <c r="F23" s="6">
        <v>15</v>
      </c>
      <c r="G23" s="6">
        <v>16</v>
      </c>
    </row>
    <row r="24" spans="1:7" x14ac:dyDescent="0.2">
      <c r="A24" s="5">
        <v>44568</v>
      </c>
      <c r="B24" s="2" t="s">
        <v>34</v>
      </c>
      <c r="C24" s="2" t="s">
        <v>24</v>
      </c>
      <c r="D24" s="6">
        <v>22</v>
      </c>
      <c r="E24" s="6">
        <v>8</v>
      </c>
      <c r="F24" s="6">
        <v>9</v>
      </c>
      <c r="G24" s="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zoomScale="110" zoomScaleNormal="110" workbookViewId="0">
      <selection activeCell="E21" sqref="E21"/>
    </sheetView>
  </sheetViews>
  <sheetFormatPr defaultRowHeight="12.75" x14ac:dyDescent="0.2"/>
  <cols>
    <col min="1" max="1" width="12.7109375" bestFit="1" customWidth="1"/>
    <col min="2" max="2" width="11.140625" customWidth="1"/>
    <col min="3" max="3" width="11" customWidth="1"/>
    <col min="6" max="6" width="10.7109375" customWidth="1"/>
  </cols>
  <sheetData>
    <row r="1" spans="1:6" ht="20.100000000000001" customHeight="1" x14ac:dyDescent="0.2">
      <c r="A1" s="22" t="s">
        <v>37</v>
      </c>
      <c r="B1" s="22" t="s">
        <v>38</v>
      </c>
      <c r="C1" s="22" t="s">
        <v>39</v>
      </c>
      <c r="D1" s="22" t="s">
        <v>40</v>
      </c>
      <c r="E1" s="22" t="s">
        <v>41</v>
      </c>
      <c r="F1" s="22" t="s">
        <v>42</v>
      </c>
    </row>
    <row r="2" spans="1:6" x14ac:dyDescent="0.2">
      <c r="A2" s="2" t="s">
        <v>43</v>
      </c>
      <c r="B2" s="2">
        <v>72</v>
      </c>
      <c r="C2" s="2" t="str">
        <f>VLOOKUP(B$2,Assumptions!$A$2:$B$4,2,1)</f>
        <v>Average</v>
      </c>
      <c r="D2" s="2"/>
      <c r="E2" s="7"/>
      <c r="F2" s="2" t="b">
        <f t="shared" ref="F2:F7" si="0">B2=MAX($B$2:$B$7)</f>
        <v>0</v>
      </c>
    </row>
    <row r="3" spans="1:6" x14ac:dyDescent="0.2">
      <c r="A3" s="2" t="s">
        <v>48</v>
      </c>
      <c r="B3" s="2">
        <v>85</v>
      </c>
      <c r="C3" s="2" t="str">
        <f>VLOOKUP(B3,Assumptions!$A$2:$B$4,2,1)</f>
        <v>Good</v>
      </c>
      <c r="D3" s="2"/>
      <c r="E3" s="7"/>
      <c r="F3" s="2" t="b">
        <f t="shared" si="0"/>
        <v>0</v>
      </c>
    </row>
    <row r="4" spans="1:6" x14ac:dyDescent="0.2">
      <c r="A4" s="2" t="s">
        <v>44</v>
      </c>
      <c r="B4" s="2">
        <v>40</v>
      </c>
      <c r="C4" s="2" t="str">
        <f>VLOOKUP(B4,Assumptions!$A$2:$B$4,2,1)</f>
        <v>Poor</v>
      </c>
      <c r="D4" s="2"/>
      <c r="E4" s="7"/>
      <c r="F4" s="2" t="b">
        <f t="shared" si="0"/>
        <v>0</v>
      </c>
    </row>
    <row r="5" spans="1:6" x14ac:dyDescent="0.2">
      <c r="A5" s="2" t="s">
        <v>45</v>
      </c>
      <c r="B5" s="2">
        <v>88</v>
      </c>
      <c r="C5" s="2" t="str">
        <f>VLOOKUP(B5,Assumptions!$A$2:$B$4,2,1)</f>
        <v>Good</v>
      </c>
      <c r="D5" s="2"/>
      <c r="E5" s="7"/>
      <c r="F5" s="2" t="b">
        <f t="shared" si="0"/>
        <v>0</v>
      </c>
    </row>
    <row r="6" spans="1:6" x14ac:dyDescent="0.2">
      <c r="A6" s="8" t="s">
        <v>46</v>
      </c>
      <c r="B6" s="8">
        <v>90</v>
      </c>
      <c r="C6" s="2" t="str">
        <f>VLOOKUP(B6,Assumptions!$A$2:$B$4,2,1)</f>
        <v>Good</v>
      </c>
      <c r="D6" s="8"/>
      <c r="E6" s="9"/>
      <c r="F6" s="2" t="b">
        <f t="shared" si="0"/>
        <v>1</v>
      </c>
    </row>
    <row r="7" spans="1:6" x14ac:dyDescent="0.2">
      <c r="A7" s="2" t="s">
        <v>47</v>
      </c>
      <c r="B7" s="2">
        <v>45</v>
      </c>
      <c r="C7" s="2" t="str">
        <f>VLOOKUP(B7,Assumptions!$A$2:$B$4,2,1)</f>
        <v>Poor</v>
      </c>
      <c r="D7" s="2"/>
      <c r="E7" s="7"/>
      <c r="F7" s="2" t="b">
        <f t="shared" si="0"/>
        <v>0</v>
      </c>
    </row>
  </sheetData>
  <conditionalFormatting sqref="A2:E7">
    <cfRule type="expression" dxfId="0" priority="2">
      <formula>$B2=MAX($B$2:$B$8)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showGridLines="0" zoomScale="110" zoomScaleNormal="110" workbookViewId="0">
      <selection sqref="A1:C1"/>
    </sheetView>
  </sheetViews>
  <sheetFormatPr defaultRowHeight="12.75" x14ac:dyDescent="0.2"/>
  <sheetData>
    <row r="1" spans="1:3" ht="20.100000000000001" customHeight="1" x14ac:dyDescent="0.2">
      <c r="A1" s="22" t="s">
        <v>38</v>
      </c>
      <c r="B1" s="22" t="s">
        <v>39</v>
      </c>
      <c r="C1" s="23" t="s">
        <v>49</v>
      </c>
    </row>
    <row r="2" spans="1:3" x14ac:dyDescent="0.2">
      <c r="A2" s="2">
        <v>0</v>
      </c>
      <c r="B2" s="2" t="s">
        <v>50</v>
      </c>
      <c r="C2" s="2">
        <v>-1</v>
      </c>
    </row>
    <row r="3" spans="1:3" x14ac:dyDescent="0.2">
      <c r="A3" s="2">
        <v>50</v>
      </c>
      <c r="B3" s="2" t="s">
        <v>51</v>
      </c>
      <c r="C3" s="2">
        <v>0</v>
      </c>
    </row>
    <row r="4" spans="1:3" x14ac:dyDescent="0.2">
      <c r="A4" s="2">
        <v>80</v>
      </c>
      <c r="B4" s="2" t="s">
        <v>52</v>
      </c>
      <c r="C4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0"/>
  <sheetViews>
    <sheetView tabSelected="1" workbookViewId="0">
      <selection activeCell="Q53" sqref="Q53"/>
    </sheetView>
  </sheetViews>
  <sheetFormatPr defaultRowHeight="12.75" x14ac:dyDescent="0.2"/>
  <cols>
    <col min="1" max="1" width="13.85546875" customWidth="1"/>
    <col min="2" max="2" width="19.85546875" customWidth="1"/>
  </cols>
  <sheetData>
    <row r="3" spans="1:2" x14ac:dyDescent="0.2">
      <c r="A3" s="18" t="s">
        <v>54</v>
      </c>
      <c r="B3" t="s">
        <v>56</v>
      </c>
    </row>
    <row r="4" spans="1:2" x14ac:dyDescent="0.2">
      <c r="A4" s="10" t="s">
        <v>164</v>
      </c>
      <c r="B4" s="71">
        <v>7250.14</v>
      </c>
    </row>
    <row r="5" spans="1:2" x14ac:dyDescent="0.2">
      <c r="A5" s="10" t="s">
        <v>166</v>
      </c>
      <c r="B5" s="71">
        <v>5791.88</v>
      </c>
    </row>
    <row r="6" spans="1:2" x14ac:dyDescent="0.2">
      <c r="A6" s="10" t="s">
        <v>168</v>
      </c>
      <c r="B6" s="71">
        <v>7548.18</v>
      </c>
    </row>
    <row r="7" spans="1:2" x14ac:dyDescent="0.2">
      <c r="A7" s="10" t="s">
        <v>167</v>
      </c>
      <c r="B7" s="71">
        <v>4493.7299999999996</v>
      </c>
    </row>
    <row r="8" spans="1:2" x14ac:dyDescent="0.2">
      <c r="A8" s="10" t="s">
        <v>165</v>
      </c>
      <c r="B8" s="71">
        <v>3810.8299999999995</v>
      </c>
    </row>
    <row r="9" spans="1:2" x14ac:dyDescent="0.2">
      <c r="A9" s="10" t="s">
        <v>57</v>
      </c>
      <c r="B9" s="71">
        <v>28894.76</v>
      </c>
    </row>
    <row r="12" spans="1:2" x14ac:dyDescent="0.2">
      <c r="A12" s="18" t="s">
        <v>54</v>
      </c>
      <c r="B12" t="s">
        <v>55</v>
      </c>
    </row>
    <row r="13" spans="1:2" x14ac:dyDescent="0.2">
      <c r="A13" s="10" t="s">
        <v>13</v>
      </c>
      <c r="B13" s="71">
        <v>530</v>
      </c>
    </row>
    <row r="14" spans="1:2" x14ac:dyDescent="0.2">
      <c r="A14" s="10" t="s">
        <v>15</v>
      </c>
      <c r="B14" s="71">
        <v>459</v>
      </c>
    </row>
    <row r="15" spans="1:2" x14ac:dyDescent="0.2">
      <c r="A15" s="10" t="s">
        <v>74</v>
      </c>
      <c r="B15" s="71">
        <v>564</v>
      </c>
    </row>
    <row r="16" spans="1:2" x14ac:dyDescent="0.2">
      <c r="A16" s="10" t="s">
        <v>14</v>
      </c>
      <c r="B16" s="71">
        <v>547</v>
      </c>
    </row>
    <row r="17" spans="1:2" x14ac:dyDescent="0.2">
      <c r="A17" s="10" t="s">
        <v>83</v>
      </c>
      <c r="B17" s="71">
        <v>336</v>
      </c>
    </row>
    <row r="18" spans="1:2" x14ac:dyDescent="0.2">
      <c r="A18" s="10" t="s">
        <v>67</v>
      </c>
      <c r="B18" s="71">
        <v>251</v>
      </c>
    </row>
    <row r="19" spans="1:2" x14ac:dyDescent="0.2">
      <c r="A19" s="10" t="s">
        <v>78</v>
      </c>
      <c r="B19" s="71">
        <v>620</v>
      </c>
    </row>
    <row r="20" spans="1:2" x14ac:dyDescent="0.2">
      <c r="A20" s="10" t="s">
        <v>57</v>
      </c>
      <c r="B20" s="71">
        <v>3307</v>
      </c>
    </row>
    <row r="21" spans="1:2" x14ac:dyDescent="0.2">
      <c r="A21" s="10"/>
      <c r="B21" s="71"/>
    </row>
    <row r="22" spans="1:2" x14ac:dyDescent="0.2">
      <c r="A22" s="10"/>
      <c r="B22" s="71"/>
    </row>
    <row r="23" spans="1:2" x14ac:dyDescent="0.2">
      <c r="A23" s="18" t="s">
        <v>54</v>
      </c>
      <c r="B23" t="s">
        <v>271</v>
      </c>
    </row>
    <row r="24" spans="1:2" x14ac:dyDescent="0.2">
      <c r="A24" s="10" t="s">
        <v>245</v>
      </c>
      <c r="B24" s="71">
        <v>499.63000000000017</v>
      </c>
    </row>
    <row r="25" spans="1:2" x14ac:dyDescent="0.2">
      <c r="A25" s="10" t="s">
        <v>246</v>
      </c>
      <c r="B25" s="71">
        <v>371.40000000000009</v>
      </c>
    </row>
    <row r="26" spans="1:2" x14ac:dyDescent="0.2">
      <c r="A26" s="10" t="s">
        <v>244</v>
      </c>
      <c r="B26" s="71">
        <v>297.11</v>
      </c>
    </row>
    <row r="27" spans="1:2" x14ac:dyDescent="0.2">
      <c r="A27" s="10" t="s">
        <v>57</v>
      </c>
      <c r="B27" s="71">
        <v>1168.1400000000003</v>
      </c>
    </row>
    <row r="30" spans="1:2" x14ac:dyDescent="0.2">
      <c r="A30" s="18" t="s">
        <v>54</v>
      </c>
      <c r="B30" t="s">
        <v>272</v>
      </c>
    </row>
    <row r="31" spans="1:2" x14ac:dyDescent="0.2">
      <c r="A31" s="10" t="s">
        <v>91</v>
      </c>
      <c r="B31" s="71"/>
    </row>
    <row r="32" spans="1:2" x14ac:dyDescent="0.2">
      <c r="A32" s="72" t="s">
        <v>5</v>
      </c>
      <c r="B32" s="71">
        <v>83</v>
      </c>
    </row>
    <row r="33" spans="1:2" x14ac:dyDescent="0.2">
      <c r="A33" s="72" t="s">
        <v>6</v>
      </c>
      <c r="B33" s="71">
        <v>95</v>
      </c>
    </row>
    <row r="34" spans="1:2" x14ac:dyDescent="0.2">
      <c r="A34" s="72" t="s">
        <v>7</v>
      </c>
      <c r="B34" s="71">
        <v>164</v>
      </c>
    </row>
    <row r="35" spans="1:2" x14ac:dyDescent="0.2">
      <c r="A35" s="72" t="s">
        <v>8</v>
      </c>
      <c r="B35" s="71">
        <v>137</v>
      </c>
    </row>
    <row r="36" spans="1:2" x14ac:dyDescent="0.2">
      <c r="A36" s="72" t="s">
        <v>9</v>
      </c>
      <c r="B36" s="71">
        <v>121</v>
      </c>
    </row>
    <row r="37" spans="1:2" x14ac:dyDescent="0.2">
      <c r="A37" s="72" t="s">
        <v>10</v>
      </c>
      <c r="B37" s="71">
        <v>64</v>
      </c>
    </row>
    <row r="38" spans="1:2" x14ac:dyDescent="0.2">
      <c r="A38" s="72" t="s">
        <v>259</v>
      </c>
      <c r="B38" s="71">
        <v>169</v>
      </c>
    </row>
    <row r="39" spans="1:2" x14ac:dyDescent="0.2">
      <c r="A39" s="72" t="s">
        <v>260</v>
      </c>
      <c r="B39" s="71">
        <v>121</v>
      </c>
    </row>
    <row r="40" spans="1:2" x14ac:dyDescent="0.2">
      <c r="A40" s="72" t="s">
        <v>261</v>
      </c>
      <c r="B40" s="71">
        <v>143</v>
      </c>
    </row>
    <row r="41" spans="1:2" x14ac:dyDescent="0.2">
      <c r="A41" s="72" t="s">
        <v>262</v>
      </c>
      <c r="B41" s="71">
        <v>143</v>
      </c>
    </row>
    <row r="42" spans="1:2" x14ac:dyDescent="0.2">
      <c r="A42" s="72" t="s">
        <v>263</v>
      </c>
      <c r="B42" s="71">
        <v>67</v>
      </c>
    </row>
    <row r="43" spans="1:2" x14ac:dyDescent="0.2">
      <c r="A43" s="72" t="s">
        <v>264</v>
      </c>
      <c r="B43" s="71">
        <v>121</v>
      </c>
    </row>
    <row r="44" spans="1:2" x14ac:dyDescent="0.2">
      <c r="A44" s="10" t="s">
        <v>92</v>
      </c>
      <c r="B44" s="71"/>
    </row>
    <row r="45" spans="1:2" x14ac:dyDescent="0.2">
      <c r="A45" s="72" t="s">
        <v>5</v>
      </c>
      <c r="B45" s="71">
        <v>223</v>
      </c>
    </row>
    <row r="46" spans="1:2" x14ac:dyDescent="0.2">
      <c r="A46" s="72" t="s">
        <v>6</v>
      </c>
      <c r="B46" s="71">
        <v>283</v>
      </c>
    </row>
    <row r="47" spans="1:2" x14ac:dyDescent="0.2">
      <c r="A47" s="72" t="s">
        <v>7</v>
      </c>
      <c r="B47" s="71">
        <v>195</v>
      </c>
    </row>
    <row r="48" spans="1:2" x14ac:dyDescent="0.2">
      <c r="A48" s="72" t="s">
        <v>8</v>
      </c>
      <c r="B48" s="71">
        <v>242</v>
      </c>
    </row>
    <row r="49" spans="1:2" x14ac:dyDescent="0.2">
      <c r="A49" s="72" t="s">
        <v>9</v>
      </c>
      <c r="B49" s="71">
        <v>289</v>
      </c>
    </row>
    <row r="50" spans="1:2" x14ac:dyDescent="0.2">
      <c r="A50" s="72" t="s">
        <v>10</v>
      </c>
      <c r="B50" s="71">
        <v>225</v>
      </c>
    </row>
    <row r="51" spans="1:2" x14ac:dyDescent="0.2">
      <c r="A51" s="72" t="s">
        <v>259</v>
      </c>
      <c r="B51" s="71">
        <v>265</v>
      </c>
    </row>
    <row r="52" spans="1:2" x14ac:dyDescent="0.2">
      <c r="A52" s="72" t="s">
        <v>260</v>
      </c>
      <c r="B52" s="71">
        <v>192</v>
      </c>
    </row>
    <row r="53" spans="1:2" x14ac:dyDescent="0.2">
      <c r="A53" s="72" t="s">
        <v>261</v>
      </c>
      <c r="B53" s="71">
        <v>313</v>
      </c>
    </row>
    <row r="54" spans="1:2" x14ac:dyDescent="0.2">
      <c r="A54" s="72" t="s">
        <v>262</v>
      </c>
      <c r="B54" s="71">
        <v>271</v>
      </c>
    </row>
    <row r="55" spans="1:2" x14ac:dyDescent="0.2">
      <c r="A55" s="72" t="s">
        <v>263</v>
      </c>
      <c r="B55" s="71">
        <v>190</v>
      </c>
    </row>
    <row r="56" spans="1:2" x14ac:dyDescent="0.2">
      <c r="A56" s="72" t="s">
        <v>264</v>
      </c>
      <c r="B56" s="71">
        <v>269</v>
      </c>
    </row>
    <row r="57" spans="1:2" x14ac:dyDescent="0.2">
      <c r="A57" s="10" t="s">
        <v>57</v>
      </c>
      <c r="B57" s="71">
        <v>4385</v>
      </c>
    </row>
    <row r="60" spans="1:2" x14ac:dyDescent="0.2">
      <c r="A60" s="18" t="s">
        <v>54</v>
      </c>
      <c r="B60" t="s">
        <v>270</v>
      </c>
    </row>
    <row r="61" spans="1:2" x14ac:dyDescent="0.2">
      <c r="A61" s="10" t="s">
        <v>72</v>
      </c>
      <c r="B61" s="71">
        <v>538</v>
      </c>
    </row>
    <row r="62" spans="1:2" x14ac:dyDescent="0.2">
      <c r="A62" s="10" t="s">
        <v>98</v>
      </c>
      <c r="B62" s="71">
        <v>32</v>
      </c>
    </row>
    <row r="63" spans="1:2" x14ac:dyDescent="0.2">
      <c r="A63" s="10" t="s">
        <v>89</v>
      </c>
      <c r="B63" s="71">
        <v>189</v>
      </c>
    </row>
    <row r="64" spans="1:2" x14ac:dyDescent="0.2">
      <c r="A64" s="10" t="s">
        <v>87</v>
      </c>
      <c r="B64" s="71">
        <v>115</v>
      </c>
    </row>
    <row r="65" spans="1:2" x14ac:dyDescent="0.2">
      <c r="A65" s="10" t="s">
        <v>90</v>
      </c>
      <c r="B65" s="71">
        <v>190</v>
      </c>
    </row>
    <row r="66" spans="1:2" x14ac:dyDescent="0.2">
      <c r="A66" s="10" t="s">
        <v>59</v>
      </c>
      <c r="B66" s="71">
        <v>192</v>
      </c>
    </row>
    <row r="67" spans="1:2" x14ac:dyDescent="0.2">
      <c r="A67" s="10" t="s">
        <v>76</v>
      </c>
      <c r="B67" s="71">
        <v>237</v>
      </c>
    </row>
    <row r="68" spans="1:2" x14ac:dyDescent="0.2">
      <c r="A68" s="10" t="s">
        <v>88</v>
      </c>
      <c r="B68" s="71">
        <v>222</v>
      </c>
    </row>
    <row r="69" spans="1:2" x14ac:dyDescent="0.2">
      <c r="A69" s="10" t="s">
        <v>69</v>
      </c>
      <c r="B69" s="71">
        <v>281</v>
      </c>
    </row>
    <row r="70" spans="1:2" x14ac:dyDescent="0.2">
      <c r="A70" s="10" t="s">
        <v>57</v>
      </c>
      <c r="B70" s="71">
        <v>1996</v>
      </c>
    </row>
  </sheetData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showGridLines="0" zoomScaleNormal="100" workbookViewId="0">
      <selection activeCell="A6" sqref="A6"/>
    </sheetView>
  </sheetViews>
  <sheetFormatPr defaultColWidth="9.140625" defaultRowHeight="15.75" x14ac:dyDescent="0.2"/>
  <cols>
    <col min="1" max="1" width="17.28515625" style="12" bestFit="1" customWidth="1"/>
    <col min="2" max="2" width="8.28515625" style="12" bestFit="1" customWidth="1"/>
    <col min="3" max="3" width="10.140625" style="12" bestFit="1" customWidth="1"/>
    <col min="4" max="4" width="8.5703125" style="12" customWidth="1"/>
    <col min="5" max="5" width="10.85546875" style="12" customWidth="1"/>
    <col min="6" max="6" width="12.28515625" style="12" customWidth="1"/>
    <col min="7" max="8" width="10.85546875" style="12" customWidth="1"/>
    <col min="9" max="9" width="14.7109375" style="13" customWidth="1"/>
    <col min="10" max="10" width="15" style="12" customWidth="1"/>
    <col min="11" max="11" width="11.140625" style="12" bestFit="1" customWidth="1"/>
    <col min="12" max="12" width="12.28515625" style="11" bestFit="1" customWidth="1"/>
    <col min="13" max="13" width="9.140625" style="11" customWidth="1"/>
    <col min="14" max="14" width="14.5703125" style="19" customWidth="1"/>
    <col min="15" max="15" width="12" style="19" customWidth="1"/>
    <col min="16" max="16" width="14.7109375" style="56" customWidth="1"/>
    <col min="17" max="17" width="16.85546875" style="19" customWidth="1"/>
    <col min="18" max="18" width="9.140625" style="11"/>
    <col min="19" max="19" width="34.7109375" style="11" customWidth="1"/>
    <col min="20" max="16384" width="9.140625" style="11"/>
  </cols>
  <sheetData>
    <row r="1" spans="1:19" ht="20.100000000000001" customHeight="1" x14ac:dyDescent="0.2">
      <c r="A1" s="43" t="s">
        <v>60</v>
      </c>
      <c r="B1" s="25" t="s">
        <v>61</v>
      </c>
      <c r="C1" s="25" t="s">
        <v>62</v>
      </c>
      <c r="D1" s="25" t="s">
        <v>241</v>
      </c>
      <c r="E1" s="25" t="s">
        <v>63</v>
      </c>
      <c r="F1" s="25" t="s">
        <v>170</v>
      </c>
      <c r="G1" s="25" t="s">
        <v>163</v>
      </c>
      <c r="H1" s="25" t="s">
        <v>169</v>
      </c>
      <c r="I1" s="26" t="s">
        <v>64</v>
      </c>
      <c r="J1" s="27" t="s">
        <v>22</v>
      </c>
      <c r="K1" s="45" t="s">
        <v>65</v>
      </c>
      <c r="L1" s="47" t="s">
        <v>16</v>
      </c>
      <c r="M1" s="49" t="s">
        <v>58</v>
      </c>
      <c r="N1" s="51" t="s">
        <v>237</v>
      </c>
      <c r="O1" s="51" t="s">
        <v>242</v>
      </c>
      <c r="P1" s="51" t="s">
        <v>243</v>
      </c>
      <c r="Q1" s="51" t="s">
        <v>247</v>
      </c>
      <c r="S1"/>
    </row>
    <row r="2" spans="1:19" x14ac:dyDescent="0.25">
      <c r="A2" s="44">
        <v>44567</v>
      </c>
      <c r="B2" s="14" t="s">
        <v>66</v>
      </c>
      <c r="C2" s="14" t="s">
        <v>67</v>
      </c>
      <c r="D2" s="15" t="s">
        <v>238</v>
      </c>
      <c r="E2" s="15" t="s">
        <v>68</v>
      </c>
      <c r="F2" s="15" t="s">
        <v>171</v>
      </c>
      <c r="G2" s="15" t="s">
        <v>99</v>
      </c>
      <c r="H2" s="15" t="s">
        <v>164</v>
      </c>
      <c r="I2" s="16" t="s">
        <v>69</v>
      </c>
      <c r="J2" s="17">
        <v>95</v>
      </c>
      <c r="K2" s="46">
        <v>1.99</v>
      </c>
      <c r="L2" s="48">
        <f t="shared" ref="L2:L65" si="0">K2*J2</f>
        <v>189.05</v>
      </c>
      <c r="M2" s="50" t="s">
        <v>236</v>
      </c>
      <c r="N2" s="52">
        <v>24</v>
      </c>
      <c r="O2" s="53">
        <v>0</v>
      </c>
      <c r="P2" s="55">
        <v>45</v>
      </c>
      <c r="Q2" s="14" t="s">
        <v>244</v>
      </c>
      <c r="S2"/>
    </row>
    <row r="3" spans="1:19" x14ac:dyDescent="0.25">
      <c r="A3" s="44">
        <v>44584</v>
      </c>
      <c r="B3" s="14" t="s">
        <v>70</v>
      </c>
      <c r="C3" s="14" t="s">
        <v>78</v>
      </c>
      <c r="D3" s="14" t="s">
        <v>239</v>
      </c>
      <c r="E3" s="14" t="s">
        <v>71</v>
      </c>
      <c r="F3" s="14" t="s">
        <v>172</v>
      </c>
      <c r="G3" s="14" t="s">
        <v>102</v>
      </c>
      <c r="H3" s="14" t="s">
        <v>166</v>
      </c>
      <c r="I3" s="16" t="s">
        <v>72</v>
      </c>
      <c r="J3" s="17">
        <v>50</v>
      </c>
      <c r="K3" s="46">
        <v>19.989999999999998</v>
      </c>
      <c r="L3" s="48">
        <f t="shared" si="0"/>
        <v>999.49999999999989</v>
      </c>
      <c r="M3" s="50" t="s">
        <v>26</v>
      </c>
      <c r="N3" s="52">
        <v>43</v>
      </c>
      <c r="O3" s="53">
        <v>0</v>
      </c>
      <c r="P3" s="55">
        <v>90</v>
      </c>
      <c r="Q3" s="14" t="s">
        <v>245</v>
      </c>
      <c r="S3"/>
    </row>
    <row r="4" spans="1:19" x14ac:dyDescent="0.25">
      <c r="A4" s="44">
        <v>44601</v>
      </c>
      <c r="B4" s="14" t="s">
        <v>70</v>
      </c>
      <c r="C4" s="15" t="s">
        <v>15</v>
      </c>
      <c r="D4" s="15" t="s">
        <v>240</v>
      </c>
      <c r="E4" s="15" t="s">
        <v>73</v>
      </c>
      <c r="F4" s="15" t="s">
        <v>179</v>
      </c>
      <c r="G4" s="15" t="s">
        <v>107</v>
      </c>
      <c r="H4" s="15" t="s">
        <v>168</v>
      </c>
      <c r="I4" s="16" t="s">
        <v>98</v>
      </c>
      <c r="J4" s="17">
        <v>36</v>
      </c>
      <c r="K4" s="46">
        <v>4.99</v>
      </c>
      <c r="L4" s="48">
        <f>K4*J4</f>
        <v>179.64000000000001</v>
      </c>
      <c r="M4" s="50" t="s">
        <v>26</v>
      </c>
      <c r="N4" s="52">
        <v>32</v>
      </c>
      <c r="O4" s="53">
        <v>0</v>
      </c>
      <c r="P4" s="55">
        <v>74</v>
      </c>
      <c r="Q4" s="14" t="s">
        <v>245</v>
      </c>
      <c r="S4"/>
    </row>
    <row r="5" spans="1:19" x14ac:dyDescent="0.25">
      <c r="A5" s="44">
        <v>44618</v>
      </c>
      <c r="B5" s="15" t="s">
        <v>70</v>
      </c>
      <c r="C5" s="15" t="s">
        <v>74</v>
      </c>
      <c r="D5" s="15" t="s">
        <v>235</v>
      </c>
      <c r="E5" s="15" t="s">
        <v>75</v>
      </c>
      <c r="F5" s="15" t="s">
        <v>173</v>
      </c>
      <c r="G5" s="15" t="s">
        <v>103</v>
      </c>
      <c r="H5" s="15" t="s">
        <v>167</v>
      </c>
      <c r="I5" s="16" t="s">
        <v>76</v>
      </c>
      <c r="J5" s="17">
        <v>27</v>
      </c>
      <c r="K5" s="46">
        <v>19.989999999999998</v>
      </c>
      <c r="L5" s="48">
        <f t="shared" si="0"/>
        <v>539.7299999999999</v>
      </c>
      <c r="M5" s="50" t="s">
        <v>236</v>
      </c>
      <c r="N5" s="52">
        <v>18</v>
      </c>
      <c r="O5" s="53">
        <v>0</v>
      </c>
      <c r="P5" s="55">
        <v>75</v>
      </c>
      <c r="Q5" s="15" t="s">
        <v>245</v>
      </c>
      <c r="S5"/>
    </row>
    <row r="6" spans="1:19" x14ac:dyDescent="0.25">
      <c r="A6" s="44">
        <v>44635</v>
      </c>
      <c r="B6" s="14" t="s">
        <v>77</v>
      </c>
      <c r="C6" s="14" t="s">
        <v>78</v>
      </c>
      <c r="D6" s="15" t="s">
        <v>238</v>
      </c>
      <c r="E6" s="15" t="s">
        <v>79</v>
      </c>
      <c r="F6" s="15" t="s">
        <v>174</v>
      </c>
      <c r="G6" s="15" t="s">
        <v>101</v>
      </c>
      <c r="H6" s="15" t="s">
        <v>165</v>
      </c>
      <c r="I6" s="16" t="s">
        <v>69</v>
      </c>
      <c r="J6" s="17">
        <v>56</v>
      </c>
      <c r="K6" s="46">
        <v>2.99</v>
      </c>
      <c r="L6" s="48">
        <f t="shared" si="0"/>
        <v>167.44</v>
      </c>
      <c r="M6" s="50" t="s">
        <v>26</v>
      </c>
      <c r="N6" s="52">
        <v>27</v>
      </c>
      <c r="O6" s="53">
        <v>0</v>
      </c>
      <c r="P6" s="55">
        <v>62</v>
      </c>
      <c r="Q6" s="14" t="s">
        <v>246</v>
      </c>
      <c r="S6"/>
    </row>
    <row r="7" spans="1:19" x14ac:dyDescent="0.25">
      <c r="A7" s="44">
        <v>44652</v>
      </c>
      <c r="B7" s="14" t="s">
        <v>66</v>
      </c>
      <c r="C7" s="14" t="s">
        <v>67</v>
      </c>
      <c r="D7" s="14" t="s">
        <v>238</v>
      </c>
      <c r="E7" s="14" t="s">
        <v>68</v>
      </c>
      <c r="F7" s="15" t="s">
        <v>175</v>
      </c>
      <c r="G7" s="15" t="s">
        <v>104</v>
      </c>
      <c r="H7" s="15" t="s">
        <v>164</v>
      </c>
      <c r="I7" s="16" t="s">
        <v>72</v>
      </c>
      <c r="J7" s="17">
        <v>60</v>
      </c>
      <c r="K7" s="46">
        <v>4.99</v>
      </c>
      <c r="L7" s="48">
        <f t="shared" si="0"/>
        <v>299.40000000000003</v>
      </c>
      <c r="M7" s="50" t="s">
        <v>26</v>
      </c>
      <c r="N7" s="52">
        <v>46</v>
      </c>
      <c r="O7" s="53">
        <v>0</v>
      </c>
      <c r="P7" s="55">
        <v>58</v>
      </c>
      <c r="Q7" s="14" t="s">
        <v>244</v>
      </c>
      <c r="S7"/>
    </row>
    <row r="8" spans="1:19" x14ac:dyDescent="0.25">
      <c r="A8" s="44">
        <v>44669</v>
      </c>
      <c r="B8" s="15" t="s">
        <v>70</v>
      </c>
      <c r="C8" s="15" t="s">
        <v>14</v>
      </c>
      <c r="D8" s="15" t="s">
        <v>239</v>
      </c>
      <c r="E8" s="15" t="s">
        <v>80</v>
      </c>
      <c r="F8" s="15" t="s">
        <v>180</v>
      </c>
      <c r="G8" s="15" t="s">
        <v>106</v>
      </c>
      <c r="H8" s="15" t="s">
        <v>164</v>
      </c>
      <c r="I8" s="16" t="s">
        <v>89</v>
      </c>
      <c r="J8" s="17">
        <v>75</v>
      </c>
      <c r="K8" s="46">
        <v>1.99</v>
      </c>
      <c r="L8" s="48">
        <f t="shared" si="0"/>
        <v>149.25</v>
      </c>
      <c r="M8" s="50" t="s">
        <v>236</v>
      </c>
      <c r="N8" s="52">
        <v>46</v>
      </c>
      <c r="O8" s="53">
        <v>0</v>
      </c>
      <c r="P8" s="55">
        <v>63</v>
      </c>
      <c r="Q8" s="15" t="s">
        <v>245</v>
      </c>
      <c r="S8"/>
    </row>
    <row r="9" spans="1:19" x14ac:dyDescent="0.25">
      <c r="A9" s="44">
        <v>44686</v>
      </c>
      <c r="B9" s="14" t="s">
        <v>70</v>
      </c>
      <c r="C9" s="15" t="s">
        <v>15</v>
      </c>
      <c r="D9" s="15" t="s">
        <v>240</v>
      </c>
      <c r="E9" s="15" t="s">
        <v>73</v>
      </c>
      <c r="F9" s="15" t="s">
        <v>181</v>
      </c>
      <c r="G9" s="15" t="s">
        <v>105</v>
      </c>
      <c r="H9" s="14" t="s">
        <v>166</v>
      </c>
      <c r="I9" s="16" t="s">
        <v>69</v>
      </c>
      <c r="J9" s="17">
        <v>90</v>
      </c>
      <c r="K9" s="46">
        <v>4.99</v>
      </c>
      <c r="L9" s="48">
        <f t="shared" si="0"/>
        <v>449.1</v>
      </c>
      <c r="M9" s="50" t="s">
        <v>236</v>
      </c>
      <c r="N9" s="52">
        <v>44</v>
      </c>
      <c r="O9" s="53">
        <v>0</v>
      </c>
      <c r="P9" s="55">
        <v>64</v>
      </c>
      <c r="Q9" s="14" t="s">
        <v>245</v>
      </c>
      <c r="S9"/>
    </row>
    <row r="10" spans="1:19" x14ac:dyDescent="0.25">
      <c r="A10" s="44">
        <v>44703</v>
      </c>
      <c r="B10" s="14" t="s">
        <v>77</v>
      </c>
      <c r="C10" s="15" t="s">
        <v>14</v>
      </c>
      <c r="D10" s="14" t="s">
        <v>235</v>
      </c>
      <c r="E10" s="14" t="s">
        <v>81</v>
      </c>
      <c r="F10" s="15" t="s">
        <v>176</v>
      </c>
      <c r="G10" s="15" t="s">
        <v>100</v>
      </c>
      <c r="H10" s="15" t="s">
        <v>168</v>
      </c>
      <c r="I10" s="16" t="s">
        <v>89</v>
      </c>
      <c r="J10" s="17">
        <v>32</v>
      </c>
      <c r="K10" s="46">
        <v>1.99</v>
      </c>
      <c r="L10" s="48">
        <f t="shared" si="0"/>
        <v>63.68</v>
      </c>
      <c r="M10" s="50" t="s">
        <v>26</v>
      </c>
      <c r="N10" s="52">
        <v>30</v>
      </c>
      <c r="O10" s="53">
        <v>0</v>
      </c>
      <c r="P10" s="55">
        <v>82</v>
      </c>
      <c r="Q10" s="14" t="s">
        <v>246</v>
      </c>
      <c r="S10"/>
    </row>
    <row r="11" spans="1:19" x14ac:dyDescent="0.25">
      <c r="A11" s="44">
        <v>44720</v>
      </c>
      <c r="B11" s="14" t="s">
        <v>66</v>
      </c>
      <c r="C11" s="14" t="s">
        <v>13</v>
      </c>
      <c r="D11" s="14" t="s">
        <v>238</v>
      </c>
      <c r="E11" s="14" t="s">
        <v>68</v>
      </c>
      <c r="F11" s="15" t="s">
        <v>177</v>
      </c>
      <c r="G11" s="15" t="s">
        <v>108</v>
      </c>
      <c r="H11" s="15" t="s">
        <v>167</v>
      </c>
      <c r="I11" s="16" t="s">
        <v>72</v>
      </c>
      <c r="J11" s="17">
        <v>60</v>
      </c>
      <c r="K11" s="46">
        <v>8.99</v>
      </c>
      <c r="L11" s="48">
        <f t="shared" si="0"/>
        <v>539.4</v>
      </c>
      <c r="M11" s="50" t="s">
        <v>236</v>
      </c>
      <c r="N11" s="52">
        <v>37</v>
      </c>
      <c r="O11" s="53">
        <v>0</v>
      </c>
      <c r="P11" s="55">
        <v>87</v>
      </c>
      <c r="Q11" s="14" t="s">
        <v>244</v>
      </c>
      <c r="S11"/>
    </row>
    <row r="12" spans="1:19" x14ac:dyDescent="0.25">
      <c r="A12" s="44">
        <v>44737</v>
      </c>
      <c r="B12" s="14" t="s">
        <v>70</v>
      </c>
      <c r="C12" s="15" t="s">
        <v>74</v>
      </c>
      <c r="D12" s="14" t="s">
        <v>239</v>
      </c>
      <c r="E12" s="14" t="s">
        <v>82</v>
      </c>
      <c r="F12" s="15" t="s">
        <v>178</v>
      </c>
      <c r="G12" s="15" t="s">
        <v>109</v>
      </c>
      <c r="H12" s="15" t="s">
        <v>165</v>
      </c>
      <c r="I12" s="16" t="s">
        <v>69</v>
      </c>
      <c r="J12" s="17">
        <v>90</v>
      </c>
      <c r="K12" s="46">
        <v>4.99</v>
      </c>
      <c r="L12" s="48">
        <f t="shared" si="0"/>
        <v>449.1</v>
      </c>
      <c r="M12" s="50" t="s">
        <v>26</v>
      </c>
      <c r="N12" s="52">
        <v>39</v>
      </c>
      <c r="O12" s="53">
        <v>0</v>
      </c>
      <c r="P12" s="55">
        <v>58</v>
      </c>
      <c r="Q12" s="14" t="s">
        <v>245</v>
      </c>
      <c r="S12"/>
    </row>
    <row r="13" spans="1:19" x14ac:dyDescent="0.25">
      <c r="A13" s="44">
        <v>44754</v>
      </c>
      <c r="B13" s="14" t="s">
        <v>66</v>
      </c>
      <c r="C13" s="15" t="s">
        <v>83</v>
      </c>
      <c r="D13" s="14" t="s">
        <v>240</v>
      </c>
      <c r="E13" s="14" t="s">
        <v>84</v>
      </c>
      <c r="F13" s="15" t="s">
        <v>182</v>
      </c>
      <c r="G13" s="15" t="s">
        <v>110</v>
      </c>
      <c r="H13" s="15" t="s">
        <v>164</v>
      </c>
      <c r="I13" s="16" t="s">
        <v>59</v>
      </c>
      <c r="J13" s="17">
        <v>29</v>
      </c>
      <c r="K13" s="46">
        <v>1.99</v>
      </c>
      <c r="L13" s="48">
        <f t="shared" si="0"/>
        <v>57.71</v>
      </c>
      <c r="M13" s="50" t="s">
        <v>26</v>
      </c>
      <c r="N13" s="52">
        <v>11</v>
      </c>
      <c r="O13" s="53">
        <v>0</v>
      </c>
      <c r="P13" s="55">
        <v>63</v>
      </c>
      <c r="Q13" s="14" t="s">
        <v>244</v>
      </c>
      <c r="S13"/>
    </row>
    <row r="14" spans="1:19" x14ac:dyDescent="0.25">
      <c r="A14" s="44">
        <v>44771</v>
      </c>
      <c r="B14" s="15" t="s">
        <v>66</v>
      </c>
      <c r="C14" s="14" t="s">
        <v>13</v>
      </c>
      <c r="D14" s="15" t="s">
        <v>235</v>
      </c>
      <c r="E14" s="15" t="s">
        <v>85</v>
      </c>
      <c r="F14" s="15" t="s">
        <v>183</v>
      </c>
      <c r="G14" s="15" t="s">
        <v>111</v>
      </c>
      <c r="H14" s="14" t="s">
        <v>166</v>
      </c>
      <c r="I14" s="16" t="s">
        <v>59</v>
      </c>
      <c r="J14" s="17">
        <v>81</v>
      </c>
      <c r="K14" s="46">
        <v>19.989999999999998</v>
      </c>
      <c r="L14" s="48">
        <f t="shared" si="0"/>
        <v>1619.1899999999998</v>
      </c>
      <c r="M14" s="50" t="s">
        <v>236</v>
      </c>
      <c r="N14" s="52">
        <v>19</v>
      </c>
      <c r="O14" s="53">
        <v>0</v>
      </c>
      <c r="P14" s="55">
        <v>72</v>
      </c>
      <c r="Q14" s="15" t="s">
        <v>244</v>
      </c>
      <c r="S14"/>
    </row>
    <row r="15" spans="1:19" x14ac:dyDescent="0.25">
      <c r="A15" s="44">
        <v>44788</v>
      </c>
      <c r="B15" s="14" t="s">
        <v>66</v>
      </c>
      <c r="C15" s="15" t="s">
        <v>83</v>
      </c>
      <c r="D15" s="15" t="s">
        <v>238</v>
      </c>
      <c r="E15" s="15" t="s">
        <v>68</v>
      </c>
      <c r="F15" s="15" t="s">
        <v>184</v>
      </c>
      <c r="G15" s="15" t="s">
        <v>112</v>
      </c>
      <c r="H15" s="15" t="s">
        <v>168</v>
      </c>
      <c r="I15" s="16" t="s">
        <v>69</v>
      </c>
      <c r="J15" s="17">
        <v>35</v>
      </c>
      <c r="K15" s="46">
        <v>4.99</v>
      </c>
      <c r="L15" s="48">
        <f t="shared" si="0"/>
        <v>174.65</v>
      </c>
      <c r="M15" s="50" t="s">
        <v>26</v>
      </c>
      <c r="N15" s="52">
        <v>36</v>
      </c>
      <c r="O15" s="53">
        <v>0</v>
      </c>
      <c r="P15" s="55">
        <v>71</v>
      </c>
      <c r="Q15" s="14" t="s">
        <v>244</v>
      </c>
      <c r="S15"/>
    </row>
    <row r="16" spans="1:19" x14ac:dyDescent="0.25">
      <c r="A16" s="44">
        <v>44805</v>
      </c>
      <c r="B16" s="15" t="s">
        <v>70</v>
      </c>
      <c r="C16" s="14" t="s">
        <v>78</v>
      </c>
      <c r="D16" s="15" t="s">
        <v>238</v>
      </c>
      <c r="E16" s="15" t="s">
        <v>86</v>
      </c>
      <c r="F16" s="15" t="s">
        <v>185</v>
      </c>
      <c r="G16" s="15" t="s">
        <v>113</v>
      </c>
      <c r="H16" s="15" t="s">
        <v>167</v>
      </c>
      <c r="I16" s="16" t="s">
        <v>87</v>
      </c>
      <c r="J16" s="17">
        <v>2</v>
      </c>
      <c r="K16" s="46">
        <v>125</v>
      </c>
      <c r="L16" s="48">
        <f t="shared" si="0"/>
        <v>250</v>
      </c>
      <c r="M16" s="50" t="s">
        <v>26</v>
      </c>
      <c r="N16" s="52">
        <v>15</v>
      </c>
      <c r="O16" s="53">
        <v>0</v>
      </c>
      <c r="P16" s="55">
        <v>80</v>
      </c>
      <c r="Q16" s="15" t="s">
        <v>245</v>
      </c>
      <c r="S16"/>
    </row>
    <row r="17" spans="1:19" x14ac:dyDescent="0.25">
      <c r="A17" s="44">
        <v>44822</v>
      </c>
      <c r="B17" s="14" t="s">
        <v>66</v>
      </c>
      <c r="C17" s="14" t="s">
        <v>13</v>
      </c>
      <c r="D17" s="14" t="s">
        <v>238</v>
      </c>
      <c r="E17" s="14" t="s">
        <v>68</v>
      </c>
      <c r="F17" s="15" t="s">
        <v>186</v>
      </c>
      <c r="G17" s="15" t="s">
        <v>114</v>
      </c>
      <c r="H17" s="15" t="s">
        <v>165</v>
      </c>
      <c r="I17" s="16" t="s">
        <v>88</v>
      </c>
      <c r="J17" s="17">
        <v>16</v>
      </c>
      <c r="K17" s="46">
        <v>15.99</v>
      </c>
      <c r="L17" s="48">
        <f t="shared" si="0"/>
        <v>255.84</v>
      </c>
      <c r="M17" s="50" t="s">
        <v>236</v>
      </c>
      <c r="N17" s="52">
        <v>10</v>
      </c>
      <c r="O17" s="53">
        <v>0</v>
      </c>
      <c r="P17" s="55">
        <v>63</v>
      </c>
      <c r="Q17" s="14" t="s">
        <v>244</v>
      </c>
      <c r="S17"/>
    </row>
    <row r="18" spans="1:19" x14ac:dyDescent="0.25">
      <c r="A18" s="44">
        <v>44839</v>
      </c>
      <c r="B18" s="14" t="s">
        <v>70</v>
      </c>
      <c r="C18" s="15" t="s">
        <v>15</v>
      </c>
      <c r="D18" s="14" t="s">
        <v>239</v>
      </c>
      <c r="E18" s="14" t="s">
        <v>82</v>
      </c>
      <c r="F18" s="15" t="s">
        <v>187</v>
      </c>
      <c r="G18" s="15" t="s">
        <v>115</v>
      </c>
      <c r="H18" s="15" t="s">
        <v>164</v>
      </c>
      <c r="I18" s="16" t="s">
        <v>59</v>
      </c>
      <c r="J18" s="17">
        <v>28</v>
      </c>
      <c r="K18" s="46">
        <v>8.99</v>
      </c>
      <c r="L18" s="48">
        <f t="shared" si="0"/>
        <v>251.72</v>
      </c>
      <c r="M18" s="50" t="s">
        <v>26</v>
      </c>
      <c r="N18" s="52">
        <v>40</v>
      </c>
      <c r="O18" s="53">
        <v>0</v>
      </c>
      <c r="P18" s="55">
        <v>67</v>
      </c>
      <c r="Q18" s="14" t="s">
        <v>245</v>
      </c>
      <c r="S18"/>
    </row>
    <row r="19" spans="1:19" x14ac:dyDescent="0.25">
      <c r="A19" s="44">
        <v>44856</v>
      </c>
      <c r="B19" s="14" t="s">
        <v>66</v>
      </c>
      <c r="C19" s="15" t="s">
        <v>83</v>
      </c>
      <c r="D19" s="14" t="s">
        <v>238</v>
      </c>
      <c r="E19" s="14" t="s">
        <v>68</v>
      </c>
      <c r="F19" s="15" t="s">
        <v>188</v>
      </c>
      <c r="G19" s="15" t="s">
        <v>116</v>
      </c>
      <c r="H19" s="14" t="s">
        <v>166</v>
      </c>
      <c r="I19" s="16" t="s">
        <v>76</v>
      </c>
      <c r="J19" s="17">
        <v>64</v>
      </c>
      <c r="K19" s="46">
        <v>8.99</v>
      </c>
      <c r="L19" s="48">
        <f t="shared" si="0"/>
        <v>575.36</v>
      </c>
      <c r="M19" s="50" t="s">
        <v>26</v>
      </c>
      <c r="N19" s="52">
        <v>50</v>
      </c>
      <c r="O19" s="53">
        <v>0</v>
      </c>
      <c r="P19" s="55">
        <v>69</v>
      </c>
      <c r="Q19" s="14" t="s">
        <v>244</v>
      </c>
      <c r="S19"/>
    </row>
    <row r="20" spans="1:19" x14ac:dyDescent="0.25">
      <c r="A20" s="44">
        <v>44873</v>
      </c>
      <c r="B20" s="15" t="s">
        <v>66</v>
      </c>
      <c r="C20" s="14" t="s">
        <v>13</v>
      </c>
      <c r="D20" s="15" t="s">
        <v>235</v>
      </c>
      <c r="E20" s="15" t="s">
        <v>85</v>
      </c>
      <c r="F20" s="15" t="s">
        <v>189</v>
      </c>
      <c r="G20" s="15" t="s">
        <v>117</v>
      </c>
      <c r="H20" s="15" t="s">
        <v>168</v>
      </c>
      <c r="I20" s="16" t="s">
        <v>76</v>
      </c>
      <c r="J20" s="17">
        <v>15</v>
      </c>
      <c r="K20" s="46">
        <v>19.989999999999998</v>
      </c>
      <c r="L20" s="48">
        <f t="shared" si="0"/>
        <v>299.84999999999997</v>
      </c>
      <c r="M20" s="50" t="s">
        <v>26</v>
      </c>
      <c r="N20" s="52">
        <v>28</v>
      </c>
      <c r="O20" s="53">
        <v>0</v>
      </c>
      <c r="P20" s="55">
        <v>52</v>
      </c>
      <c r="Q20" s="15" t="s">
        <v>244</v>
      </c>
    </row>
    <row r="21" spans="1:19" x14ac:dyDescent="0.25">
      <c r="A21" s="44">
        <v>44890</v>
      </c>
      <c r="B21" s="14" t="s">
        <v>70</v>
      </c>
      <c r="C21" s="15" t="s">
        <v>15</v>
      </c>
      <c r="D21" s="15" t="s">
        <v>239</v>
      </c>
      <c r="E21" s="15" t="s">
        <v>71</v>
      </c>
      <c r="F21" s="15" t="s">
        <v>190</v>
      </c>
      <c r="G21" s="15" t="s">
        <v>118</v>
      </c>
      <c r="H21" s="15" t="s">
        <v>167</v>
      </c>
      <c r="I21" s="16" t="s">
        <v>90</v>
      </c>
      <c r="J21" s="17">
        <v>96</v>
      </c>
      <c r="K21" s="46">
        <v>4.99</v>
      </c>
      <c r="L21" s="48">
        <f t="shared" si="0"/>
        <v>479.04</v>
      </c>
      <c r="M21" s="50" t="s">
        <v>26</v>
      </c>
      <c r="N21" s="52">
        <v>25</v>
      </c>
      <c r="O21" s="53">
        <v>0</v>
      </c>
      <c r="P21" s="55">
        <v>88</v>
      </c>
      <c r="Q21" s="14" t="s">
        <v>245</v>
      </c>
    </row>
    <row r="22" spans="1:19" x14ac:dyDescent="0.25">
      <c r="A22" s="44">
        <v>44907</v>
      </c>
      <c r="B22" s="15" t="s">
        <v>70</v>
      </c>
      <c r="C22" s="14" t="s">
        <v>78</v>
      </c>
      <c r="D22" s="15" t="s">
        <v>238</v>
      </c>
      <c r="E22" s="15" t="s">
        <v>86</v>
      </c>
      <c r="F22" s="15" t="s">
        <v>191</v>
      </c>
      <c r="G22" s="15" t="s">
        <v>119</v>
      </c>
      <c r="H22" s="15" t="s">
        <v>165</v>
      </c>
      <c r="I22" s="16" t="s">
        <v>89</v>
      </c>
      <c r="J22" s="17">
        <v>67</v>
      </c>
      <c r="K22" s="46">
        <v>1.29</v>
      </c>
      <c r="L22" s="48">
        <f t="shared" si="0"/>
        <v>86.43</v>
      </c>
      <c r="M22" s="50" t="s">
        <v>26</v>
      </c>
      <c r="N22" s="52">
        <v>30</v>
      </c>
      <c r="O22" s="53">
        <v>0</v>
      </c>
      <c r="P22" s="55">
        <v>82</v>
      </c>
      <c r="Q22" s="15" t="s">
        <v>245</v>
      </c>
    </row>
    <row r="23" spans="1:19" x14ac:dyDescent="0.25">
      <c r="A23" s="44">
        <v>44924</v>
      </c>
      <c r="B23" s="15" t="s">
        <v>66</v>
      </c>
      <c r="C23" s="14" t="s">
        <v>13</v>
      </c>
      <c r="D23" s="15" t="s">
        <v>235</v>
      </c>
      <c r="E23" s="15" t="s">
        <v>85</v>
      </c>
      <c r="F23" s="15" t="s">
        <v>192</v>
      </c>
      <c r="G23" s="15" t="s">
        <v>120</v>
      </c>
      <c r="H23" s="15" t="s">
        <v>164</v>
      </c>
      <c r="I23" s="16" t="s">
        <v>88</v>
      </c>
      <c r="J23" s="17">
        <v>74</v>
      </c>
      <c r="K23" s="46">
        <v>15.99</v>
      </c>
      <c r="L23" s="48">
        <f t="shared" si="0"/>
        <v>1183.26</v>
      </c>
      <c r="M23" s="50" t="s">
        <v>26</v>
      </c>
      <c r="N23" s="52">
        <v>30</v>
      </c>
      <c r="O23" s="53">
        <v>0</v>
      </c>
      <c r="P23" s="55">
        <v>52</v>
      </c>
      <c r="Q23" s="15" t="s">
        <v>244</v>
      </c>
    </row>
    <row r="24" spans="1:19" x14ac:dyDescent="0.25">
      <c r="A24" s="44">
        <v>44211</v>
      </c>
      <c r="B24" s="15" t="s">
        <v>70</v>
      </c>
      <c r="C24" s="15" t="s">
        <v>74</v>
      </c>
      <c r="D24" s="15" t="s">
        <v>235</v>
      </c>
      <c r="E24" s="15" t="s">
        <v>75</v>
      </c>
      <c r="F24" s="15" t="s">
        <v>193</v>
      </c>
      <c r="G24" s="15" t="s">
        <v>121</v>
      </c>
      <c r="H24" s="14" t="s">
        <v>166</v>
      </c>
      <c r="I24" s="16" t="s">
        <v>72</v>
      </c>
      <c r="J24" s="17">
        <v>46</v>
      </c>
      <c r="K24" s="46">
        <v>8.99</v>
      </c>
      <c r="L24" s="48">
        <f t="shared" si="0"/>
        <v>413.54</v>
      </c>
      <c r="M24" s="50" t="s">
        <v>236</v>
      </c>
      <c r="N24" s="52">
        <v>47</v>
      </c>
      <c r="O24" s="53">
        <v>0</v>
      </c>
      <c r="P24" s="55">
        <v>83</v>
      </c>
      <c r="Q24" s="15" t="s">
        <v>245</v>
      </c>
    </row>
    <row r="25" spans="1:19" x14ac:dyDescent="0.25">
      <c r="A25" s="44">
        <v>44228</v>
      </c>
      <c r="B25" s="15" t="s">
        <v>70</v>
      </c>
      <c r="C25" s="14" t="s">
        <v>78</v>
      </c>
      <c r="D25" s="15" t="s">
        <v>238</v>
      </c>
      <c r="E25" s="15" t="s">
        <v>86</v>
      </c>
      <c r="F25" s="15" t="s">
        <v>194</v>
      </c>
      <c r="G25" s="15" t="s">
        <v>122</v>
      </c>
      <c r="H25" s="15" t="s">
        <v>168</v>
      </c>
      <c r="I25" s="16" t="s">
        <v>72</v>
      </c>
      <c r="J25" s="17">
        <v>87</v>
      </c>
      <c r="K25" s="46">
        <v>15</v>
      </c>
      <c r="L25" s="48">
        <f t="shared" si="0"/>
        <v>1305</v>
      </c>
      <c r="M25" s="50" t="s">
        <v>26</v>
      </c>
      <c r="N25" s="52">
        <v>38</v>
      </c>
      <c r="O25" s="53">
        <v>0</v>
      </c>
      <c r="P25" s="55">
        <v>50</v>
      </c>
      <c r="Q25" s="15" t="s">
        <v>245</v>
      </c>
    </row>
    <row r="26" spans="1:19" x14ac:dyDescent="0.25">
      <c r="A26" s="44">
        <v>44245</v>
      </c>
      <c r="B26" s="14" t="s">
        <v>66</v>
      </c>
      <c r="C26" s="14" t="s">
        <v>13</v>
      </c>
      <c r="D26" s="14" t="s">
        <v>238</v>
      </c>
      <c r="E26" s="14" t="s">
        <v>68</v>
      </c>
      <c r="F26" s="15" t="s">
        <v>195</v>
      </c>
      <c r="G26" s="15" t="s">
        <v>123</v>
      </c>
      <c r="H26" s="15" t="s">
        <v>167</v>
      </c>
      <c r="I26" s="16" t="s">
        <v>59</v>
      </c>
      <c r="J26" s="17">
        <v>4</v>
      </c>
      <c r="K26" s="46">
        <v>4.99</v>
      </c>
      <c r="L26" s="48">
        <f t="shared" si="0"/>
        <v>19.96</v>
      </c>
      <c r="M26" s="50" t="s">
        <v>236</v>
      </c>
      <c r="N26" s="52">
        <v>24</v>
      </c>
      <c r="O26" s="53">
        <v>0</v>
      </c>
      <c r="P26" s="55">
        <v>45</v>
      </c>
      <c r="Q26" s="14" t="s">
        <v>244</v>
      </c>
    </row>
    <row r="27" spans="1:19" x14ac:dyDescent="0.25">
      <c r="A27" s="44">
        <v>44262</v>
      </c>
      <c r="B27" s="14" t="s">
        <v>77</v>
      </c>
      <c r="C27" s="14" t="s">
        <v>78</v>
      </c>
      <c r="D27" s="15" t="s">
        <v>238</v>
      </c>
      <c r="E27" s="15" t="s">
        <v>79</v>
      </c>
      <c r="F27" s="15" t="s">
        <v>196</v>
      </c>
      <c r="G27" s="15" t="s">
        <v>124</v>
      </c>
      <c r="H27" s="15" t="s">
        <v>165</v>
      </c>
      <c r="I27" s="16" t="s">
        <v>72</v>
      </c>
      <c r="J27" s="17">
        <v>7</v>
      </c>
      <c r="K27" s="46">
        <v>19.989999999999998</v>
      </c>
      <c r="L27" s="48">
        <f t="shared" si="0"/>
        <v>139.92999999999998</v>
      </c>
      <c r="M27" s="50" t="s">
        <v>26</v>
      </c>
      <c r="N27" s="52">
        <v>43</v>
      </c>
      <c r="O27" s="53">
        <v>0</v>
      </c>
      <c r="P27" s="55">
        <v>90</v>
      </c>
      <c r="Q27" s="14" t="s">
        <v>246</v>
      </c>
    </row>
    <row r="28" spans="1:19" x14ac:dyDescent="0.25">
      <c r="A28" s="44">
        <v>44279</v>
      </c>
      <c r="B28" s="14" t="s">
        <v>70</v>
      </c>
      <c r="C28" s="15" t="s">
        <v>74</v>
      </c>
      <c r="D28" s="15" t="s">
        <v>240</v>
      </c>
      <c r="E28" s="15" t="s">
        <v>73</v>
      </c>
      <c r="F28" s="15" t="s">
        <v>197</v>
      </c>
      <c r="G28" s="15" t="s">
        <v>125</v>
      </c>
      <c r="H28" s="15" t="s">
        <v>164</v>
      </c>
      <c r="I28" s="16" t="s">
        <v>88</v>
      </c>
      <c r="J28" s="17">
        <v>50</v>
      </c>
      <c r="K28" s="46">
        <v>4.99</v>
      </c>
      <c r="L28" s="48">
        <f t="shared" si="0"/>
        <v>249.5</v>
      </c>
      <c r="M28" s="50" t="s">
        <v>26</v>
      </c>
      <c r="N28" s="52">
        <v>32</v>
      </c>
      <c r="O28" s="53">
        <v>0</v>
      </c>
      <c r="P28" s="55">
        <v>74</v>
      </c>
      <c r="Q28" s="14" t="s">
        <v>245</v>
      </c>
    </row>
    <row r="29" spans="1:19" x14ac:dyDescent="0.25">
      <c r="A29" s="44">
        <v>44296</v>
      </c>
      <c r="B29" s="15" t="s">
        <v>70</v>
      </c>
      <c r="C29" s="15" t="s">
        <v>14</v>
      </c>
      <c r="D29" s="15" t="s">
        <v>239</v>
      </c>
      <c r="E29" s="15" t="s">
        <v>80</v>
      </c>
      <c r="F29" s="15" t="s">
        <v>198</v>
      </c>
      <c r="G29" s="15" t="s">
        <v>126</v>
      </c>
      <c r="H29" s="14" t="s">
        <v>166</v>
      </c>
      <c r="I29" s="16" t="s">
        <v>69</v>
      </c>
      <c r="J29" s="17">
        <v>66</v>
      </c>
      <c r="K29" s="46">
        <v>1.99</v>
      </c>
      <c r="L29" s="48">
        <f t="shared" si="0"/>
        <v>131.34</v>
      </c>
      <c r="M29" s="50" t="s">
        <v>236</v>
      </c>
      <c r="N29" s="52">
        <v>18</v>
      </c>
      <c r="O29" s="53">
        <v>0</v>
      </c>
      <c r="P29" s="55">
        <v>75</v>
      </c>
      <c r="Q29" s="15" t="s">
        <v>245</v>
      </c>
    </row>
    <row r="30" spans="1:19" x14ac:dyDescent="0.25">
      <c r="A30" s="44">
        <v>44313</v>
      </c>
      <c r="B30" s="14" t="s">
        <v>66</v>
      </c>
      <c r="C30" s="14" t="s">
        <v>67</v>
      </c>
      <c r="D30" s="14" t="s">
        <v>240</v>
      </c>
      <c r="E30" s="14" t="s">
        <v>84</v>
      </c>
      <c r="F30" s="15" t="s">
        <v>199</v>
      </c>
      <c r="G30" s="15" t="s">
        <v>127</v>
      </c>
      <c r="H30" s="15" t="s">
        <v>168</v>
      </c>
      <c r="I30" s="16" t="s">
        <v>76</v>
      </c>
      <c r="J30" s="17">
        <v>96</v>
      </c>
      <c r="K30" s="46">
        <v>4.99</v>
      </c>
      <c r="L30" s="48">
        <f t="shared" si="0"/>
        <v>479.04</v>
      </c>
      <c r="M30" s="50" t="s">
        <v>26</v>
      </c>
      <c r="N30" s="52">
        <v>27</v>
      </c>
      <c r="O30" s="53">
        <v>0</v>
      </c>
      <c r="P30" s="55">
        <v>62</v>
      </c>
      <c r="Q30" s="14" t="s">
        <v>244</v>
      </c>
    </row>
    <row r="31" spans="1:19" x14ac:dyDescent="0.25">
      <c r="A31" s="44">
        <v>44330</v>
      </c>
      <c r="B31" s="15" t="s">
        <v>70</v>
      </c>
      <c r="C31" s="15" t="s">
        <v>15</v>
      </c>
      <c r="D31" s="15" t="s">
        <v>235</v>
      </c>
      <c r="E31" s="15" t="s">
        <v>75</v>
      </c>
      <c r="F31" s="15" t="s">
        <v>200</v>
      </c>
      <c r="G31" s="15" t="s">
        <v>128</v>
      </c>
      <c r="H31" s="15" t="s">
        <v>167</v>
      </c>
      <c r="I31" s="16" t="s">
        <v>69</v>
      </c>
      <c r="J31" s="17">
        <v>53</v>
      </c>
      <c r="K31" s="46">
        <v>1.29</v>
      </c>
      <c r="L31" s="48">
        <f t="shared" si="0"/>
        <v>68.37</v>
      </c>
      <c r="M31" s="50" t="s">
        <v>26</v>
      </c>
      <c r="N31" s="52">
        <v>46</v>
      </c>
      <c r="O31" s="53">
        <v>0</v>
      </c>
      <c r="P31" s="55">
        <v>58</v>
      </c>
      <c r="Q31" s="15" t="s">
        <v>245</v>
      </c>
    </row>
    <row r="32" spans="1:19" x14ac:dyDescent="0.25">
      <c r="A32" s="44">
        <v>44347</v>
      </c>
      <c r="B32" s="15" t="s">
        <v>70</v>
      </c>
      <c r="C32" s="15" t="s">
        <v>74</v>
      </c>
      <c r="D32" s="15" t="s">
        <v>235</v>
      </c>
      <c r="E32" s="15" t="s">
        <v>75</v>
      </c>
      <c r="F32" s="15" t="s">
        <v>201</v>
      </c>
      <c r="G32" s="15" t="s">
        <v>129</v>
      </c>
      <c r="H32" s="15" t="s">
        <v>165</v>
      </c>
      <c r="I32" s="16" t="s">
        <v>72</v>
      </c>
      <c r="J32" s="17">
        <v>80</v>
      </c>
      <c r="K32" s="46">
        <v>8.99</v>
      </c>
      <c r="L32" s="48">
        <f t="shared" si="0"/>
        <v>719.2</v>
      </c>
      <c r="M32" s="50" t="s">
        <v>26</v>
      </c>
      <c r="N32" s="52">
        <v>46</v>
      </c>
      <c r="O32" s="53">
        <v>0</v>
      </c>
      <c r="P32" s="55">
        <v>63</v>
      </c>
      <c r="Q32" s="15" t="s">
        <v>245</v>
      </c>
    </row>
    <row r="33" spans="1:17" x14ac:dyDescent="0.25">
      <c r="A33" s="44">
        <v>44364</v>
      </c>
      <c r="B33" s="14" t="s">
        <v>70</v>
      </c>
      <c r="C33" s="15" t="s">
        <v>14</v>
      </c>
      <c r="D33" s="14" t="s">
        <v>239</v>
      </c>
      <c r="E33" s="14" t="s">
        <v>71</v>
      </c>
      <c r="F33" s="15" t="s">
        <v>202</v>
      </c>
      <c r="G33" s="15" t="s">
        <v>130</v>
      </c>
      <c r="H33" s="15" t="s">
        <v>164</v>
      </c>
      <c r="I33" s="16" t="s">
        <v>87</v>
      </c>
      <c r="J33" s="17">
        <v>5</v>
      </c>
      <c r="K33" s="46">
        <v>125</v>
      </c>
      <c r="L33" s="48">
        <f t="shared" si="0"/>
        <v>625</v>
      </c>
      <c r="M33" s="50" t="s">
        <v>26</v>
      </c>
      <c r="N33" s="52">
        <v>44</v>
      </c>
      <c r="O33" s="53">
        <v>0</v>
      </c>
      <c r="P33" s="55">
        <v>64</v>
      </c>
      <c r="Q33" s="14" t="s">
        <v>245</v>
      </c>
    </row>
    <row r="34" spans="1:17" x14ac:dyDescent="0.25">
      <c r="A34" s="44">
        <v>44381</v>
      </c>
      <c r="B34" s="14" t="s">
        <v>66</v>
      </c>
      <c r="C34" s="14" t="s">
        <v>13</v>
      </c>
      <c r="D34" s="15" t="s">
        <v>238</v>
      </c>
      <c r="E34" s="15" t="s">
        <v>68</v>
      </c>
      <c r="F34" s="15" t="s">
        <v>203</v>
      </c>
      <c r="G34" s="15" t="s">
        <v>131</v>
      </c>
      <c r="H34" s="14" t="s">
        <v>166</v>
      </c>
      <c r="I34" s="16" t="s">
        <v>90</v>
      </c>
      <c r="J34" s="17">
        <v>62</v>
      </c>
      <c r="K34" s="46">
        <v>4.99</v>
      </c>
      <c r="L34" s="48">
        <f t="shared" si="0"/>
        <v>309.38</v>
      </c>
      <c r="M34" s="50" t="s">
        <v>236</v>
      </c>
      <c r="N34" s="52">
        <v>30</v>
      </c>
      <c r="O34" s="53">
        <v>0</v>
      </c>
      <c r="P34" s="55">
        <v>82</v>
      </c>
      <c r="Q34" s="14" t="s">
        <v>244</v>
      </c>
    </row>
    <row r="35" spans="1:17" x14ac:dyDescent="0.25">
      <c r="A35" s="44">
        <v>44398</v>
      </c>
      <c r="B35" s="14" t="s">
        <v>70</v>
      </c>
      <c r="C35" s="15" t="s">
        <v>74</v>
      </c>
      <c r="D35" s="14" t="s">
        <v>239</v>
      </c>
      <c r="E35" s="14" t="s">
        <v>82</v>
      </c>
      <c r="F35" s="15" t="s">
        <v>204</v>
      </c>
      <c r="G35" s="15" t="s">
        <v>132</v>
      </c>
      <c r="H35" s="15" t="s">
        <v>168</v>
      </c>
      <c r="I35" s="16" t="s">
        <v>88</v>
      </c>
      <c r="J35" s="17">
        <v>55</v>
      </c>
      <c r="K35" s="46">
        <v>12.49</v>
      </c>
      <c r="L35" s="48">
        <f t="shared" si="0"/>
        <v>686.95</v>
      </c>
      <c r="M35" s="50" t="s">
        <v>236</v>
      </c>
      <c r="N35" s="52">
        <v>37</v>
      </c>
      <c r="O35" s="53">
        <v>0</v>
      </c>
      <c r="P35" s="55">
        <v>87</v>
      </c>
      <c r="Q35" s="14" t="s">
        <v>245</v>
      </c>
    </row>
    <row r="36" spans="1:17" x14ac:dyDescent="0.25">
      <c r="A36" s="44">
        <v>44415</v>
      </c>
      <c r="B36" s="14" t="s">
        <v>70</v>
      </c>
      <c r="C36" s="14" t="s">
        <v>78</v>
      </c>
      <c r="D36" s="15" t="s">
        <v>239</v>
      </c>
      <c r="E36" s="15" t="s">
        <v>71</v>
      </c>
      <c r="F36" s="15" t="s">
        <v>205</v>
      </c>
      <c r="G36" s="15" t="s">
        <v>133</v>
      </c>
      <c r="H36" s="15" t="s">
        <v>167</v>
      </c>
      <c r="I36" s="16" t="s">
        <v>88</v>
      </c>
      <c r="J36" s="17">
        <v>42</v>
      </c>
      <c r="K36" s="46">
        <v>23.95</v>
      </c>
      <c r="L36" s="48">
        <f t="shared" si="0"/>
        <v>1005.9</v>
      </c>
      <c r="M36" s="50" t="s">
        <v>236</v>
      </c>
      <c r="N36" s="52">
        <v>39</v>
      </c>
      <c r="O36" s="53">
        <v>0</v>
      </c>
      <c r="P36" s="55">
        <v>58</v>
      </c>
      <c r="Q36" s="14" t="s">
        <v>245</v>
      </c>
    </row>
    <row r="37" spans="1:17" x14ac:dyDescent="0.25">
      <c r="A37" s="44">
        <v>44432</v>
      </c>
      <c r="B37" s="14" t="s">
        <v>77</v>
      </c>
      <c r="C37" s="15" t="s">
        <v>14</v>
      </c>
      <c r="D37" s="14" t="s">
        <v>238</v>
      </c>
      <c r="E37" s="14" t="s">
        <v>79</v>
      </c>
      <c r="F37" s="15" t="s">
        <v>206</v>
      </c>
      <c r="G37" s="15" t="s">
        <v>134</v>
      </c>
      <c r="H37" s="15" t="s">
        <v>165</v>
      </c>
      <c r="I37" s="16" t="s">
        <v>87</v>
      </c>
      <c r="J37" s="17">
        <v>3</v>
      </c>
      <c r="K37" s="46">
        <v>275</v>
      </c>
      <c r="L37" s="48">
        <f t="shared" si="0"/>
        <v>825</v>
      </c>
      <c r="M37" s="50" t="s">
        <v>26</v>
      </c>
      <c r="N37" s="52">
        <v>11</v>
      </c>
      <c r="O37" s="53">
        <v>0</v>
      </c>
      <c r="P37" s="55">
        <v>63</v>
      </c>
      <c r="Q37" s="14" t="s">
        <v>246</v>
      </c>
    </row>
    <row r="38" spans="1:17" x14ac:dyDescent="0.25">
      <c r="A38" s="44">
        <v>44449</v>
      </c>
      <c r="B38" s="15" t="s">
        <v>70</v>
      </c>
      <c r="C38" s="15" t="s">
        <v>15</v>
      </c>
      <c r="D38" s="15" t="s">
        <v>235</v>
      </c>
      <c r="E38" s="15" t="s">
        <v>75</v>
      </c>
      <c r="F38" s="15" t="s">
        <v>207</v>
      </c>
      <c r="G38" s="15" t="s">
        <v>135</v>
      </c>
      <c r="H38" s="15" t="s">
        <v>164</v>
      </c>
      <c r="I38" s="16" t="s">
        <v>89</v>
      </c>
      <c r="J38" s="17">
        <v>7</v>
      </c>
      <c r="K38" s="46">
        <v>1.29</v>
      </c>
      <c r="L38" s="48">
        <f t="shared" si="0"/>
        <v>9.0300000000000011</v>
      </c>
      <c r="M38" s="50" t="s">
        <v>26</v>
      </c>
      <c r="N38" s="52">
        <v>19</v>
      </c>
      <c r="O38" s="53">
        <v>0</v>
      </c>
      <c r="P38" s="55">
        <v>72</v>
      </c>
      <c r="Q38" s="15" t="s">
        <v>245</v>
      </c>
    </row>
    <row r="39" spans="1:17" x14ac:dyDescent="0.25">
      <c r="A39" s="44">
        <v>44466</v>
      </c>
      <c r="B39" s="14" t="s">
        <v>77</v>
      </c>
      <c r="C39" s="15" t="s">
        <v>14</v>
      </c>
      <c r="D39" s="14" t="s">
        <v>238</v>
      </c>
      <c r="E39" s="14" t="s">
        <v>79</v>
      </c>
      <c r="F39" s="15" t="s">
        <v>208</v>
      </c>
      <c r="G39" s="15" t="s">
        <v>136</v>
      </c>
      <c r="H39" s="14" t="s">
        <v>166</v>
      </c>
      <c r="I39" s="16" t="s">
        <v>76</v>
      </c>
      <c r="J39" s="17">
        <v>76</v>
      </c>
      <c r="K39" s="46">
        <v>1.99</v>
      </c>
      <c r="L39" s="48">
        <f t="shared" si="0"/>
        <v>151.24</v>
      </c>
      <c r="M39" s="50" t="s">
        <v>26</v>
      </c>
      <c r="N39" s="52">
        <v>36</v>
      </c>
      <c r="O39" s="53">
        <v>0</v>
      </c>
      <c r="P39" s="55">
        <v>71</v>
      </c>
      <c r="Q39" s="14" t="s">
        <v>246</v>
      </c>
    </row>
    <row r="40" spans="1:17" x14ac:dyDescent="0.25">
      <c r="A40" s="44">
        <v>44483</v>
      </c>
      <c r="B40" s="14" t="s">
        <v>77</v>
      </c>
      <c r="C40" s="15" t="s">
        <v>14</v>
      </c>
      <c r="D40" s="15" t="s">
        <v>235</v>
      </c>
      <c r="E40" s="15" t="s">
        <v>81</v>
      </c>
      <c r="F40" s="15" t="s">
        <v>209</v>
      </c>
      <c r="G40" s="15" t="s">
        <v>137</v>
      </c>
      <c r="H40" s="15" t="s">
        <v>168</v>
      </c>
      <c r="I40" s="16" t="s">
        <v>72</v>
      </c>
      <c r="J40" s="17">
        <v>57</v>
      </c>
      <c r="K40" s="46">
        <v>19.989999999999998</v>
      </c>
      <c r="L40" s="48">
        <f t="shared" si="0"/>
        <v>1139.4299999999998</v>
      </c>
      <c r="M40" s="50" t="s">
        <v>26</v>
      </c>
      <c r="N40" s="52">
        <v>15</v>
      </c>
      <c r="O40" s="53">
        <v>0</v>
      </c>
      <c r="P40" s="55">
        <v>80</v>
      </c>
      <c r="Q40" s="14" t="s">
        <v>246</v>
      </c>
    </row>
    <row r="41" spans="1:17" x14ac:dyDescent="0.25">
      <c r="A41" s="44">
        <v>44500</v>
      </c>
      <c r="B41" s="15" t="s">
        <v>70</v>
      </c>
      <c r="C41" s="14" t="s">
        <v>78</v>
      </c>
      <c r="D41" s="15" t="s">
        <v>239</v>
      </c>
      <c r="E41" s="15" t="s">
        <v>80</v>
      </c>
      <c r="F41" s="15" t="s">
        <v>210</v>
      </c>
      <c r="G41" s="15" t="s">
        <v>138</v>
      </c>
      <c r="H41" s="15" t="s">
        <v>167</v>
      </c>
      <c r="I41" s="16" t="s">
        <v>69</v>
      </c>
      <c r="J41" s="17">
        <v>14</v>
      </c>
      <c r="K41" s="46">
        <v>1.29</v>
      </c>
      <c r="L41" s="48">
        <f t="shared" si="0"/>
        <v>18.060000000000002</v>
      </c>
      <c r="M41" s="50" t="s">
        <v>26</v>
      </c>
      <c r="N41" s="52">
        <v>10</v>
      </c>
      <c r="O41" s="53">
        <v>0</v>
      </c>
      <c r="P41" s="55">
        <v>63</v>
      </c>
      <c r="Q41" s="15" t="s">
        <v>245</v>
      </c>
    </row>
    <row r="42" spans="1:17" x14ac:dyDescent="0.25">
      <c r="A42" s="44">
        <v>44517</v>
      </c>
      <c r="B42" s="14" t="s">
        <v>70</v>
      </c>
      <c r="C42" s="15" t="s">
        <v>74</v>
      </c>
      <c r="D42" s="15" t="s">
        <v>240</v>
      </c>
      <c r="E42" s="15" t="s">
        <v>73</v>
      </c>
      <c r="F42" s="15" t="s">
        <v>211</v>
      </c>
      <c r="G42" s="15" t="s">
        <v>139</v>
      </c>
      <c r="H42" s="15" t="s">
        <v>165</v>
      </c>
      <c r="I42" s="16" t="s">
        <v>59</v>
      </c>
      <c r="J42" s="17">
        <v>11</v>
      </c>
      <c r="K42" s="46">
        <v>4.99</v>
      </c>
      <c r="L42" s="48">
        <f t="shared" si="0"/>
        <v>54.89</v>
      </c>
      <c r="M42" s="50" t="s">
        <v>236</v>
      </c>
      <c r="N42" s="52">
        <v>40</v>
      </c>
      <c r="O42" s="53">
        <v>0</v>
      </c>
      <c r="P42" s="55">
        <v>67</v>
      </c>
      <c r="Q42" s="14" t="s">
        <v>245</v>
      </c>
    </row>
    <row r="43" spans="1:17" x14ac:dyDescent="0.25">
      <c r="A43" s="44">
        <v>44534</v>
      </c>
      <c r="B43" s="14" t="s">
        <v>70</v>
      </c>
      <c r="C43" s="15" t="s">
        <v>14</v>
      </c>
      <c r="D43" s="15" t="s">
        <v>240</v>
      </c>
      <c r="E43" s="15" t="s">
        <v>73</v>
      </c>
      <c r="F43" s="15" t="s">
        <v>212</v>
      </c>
      <c r="G43" s="15" t="s">
        <v>140</v>
      </c>
      <c r="H43" s="15" t="s">
        <v>164</v>
      </c>
      <c r="I43" s="16" t="s">
        <v>72</v>
      </c>
      <c r="J43" s="17">
        <v>94</v>
      </c>
      <c r="K43" s="46">
        <v>19.989999999999998</v>
      </c>
      <c r="L43" s="48">
        <f t="shared" si="0"/>
        <v>1879.06</v>
      </c>
      <c r="M43" s="50" t="s">
        <v>26</v>
      </c>
      <c r="N43" s="52">
        <v>50</v>
      </c>
      <c r="O43" s="53">
        <v>0</v>
      </c>
      <c r="P43" s="55">
        <v>69</v>
      </c>
      <c r="Q43" s="14" t="s">
        <v>245</v>
      </c>
    </row>
    <row r="44" spans="1:17" x14ac:dyDescent="0.25">
      <c r="A44" s="44">
        <v>44551</v>
      </c>
      <c r="B44" s="15" t="s">
        <v>70</v>
      </c>
      <c r="C44" s="15" t="s">
        <v>14</v>
      </c>
      <c r="D44" s="15" t="s">
        <v>239</v>
      </c>
      <c r="E44" s="15" t="s">
        <v>80</v>
      </c>
      <c r="F44" s="15" t="s">
        <v>213</v>
      </c>
      <c r="G44" s="15" t="s">
        <v>141</v>
      </c>
      <c r="H44" s="14" t="s">
        <v>166</v>
      </c>
      <c r="I44" s="16" t="s">
        <v>59</v>
      </c>
      <c r="J44" s="17">
        <v>28</v>
      </c>
      <c r="K44" s="46">
        <v>4.99</v>
      </c>
      <c r="L44" s="48">
        <f t="shared" si="0"/>
        <v>139.72</v>
      </c>
      <c r="M44" s="50" t="s">
        <v>26</v>
      </c>
      <c r="N44" s="52">
        <v>28</v>
      </c>
      <c r="O44" s="53">
        <v>0</v>
      </c>
      <c r="P44" s="55">
        <v>52</v>
      </c>
      <c r="Q44" s="15" t="s">
        <v>245</v>
      </c>
    </row>
    <row r="45" spans="1:17" x14ac:dyDescent="0.25">
      <c r="A45" s="44">
        <v>44576</v>
      </c>
      <c r="B45" s="14" t="s">
        <v>77</v>
      </c>
      <c r="C45" s="14" t="s">
        <v>78</v>
      </c>
      <c r="D45" s="15" t="s">
        <v>238</v>
      </c>
      <c r="E45" s="15" t="s">
        <v>68</v>
      </c>
      <c r="F45" s="15" t="s">
        <v>214</v>
      </c>
      <c r="G45" s="15" t="s">
        <v>142</v>
      </c>
      <c r="H45" s="15" t="s">
        <v>168</v>
      </c>
      <c r="I45" s="16" t="s">
        <v>89</v>
      </c>
      <c r="J45" s="17">
        <v>15</v>
      </c>
      <c r="K45" s="46">
        <v>19.989999999999998</v>
      </c>
      <c r="L45" s="48">
        <f t="shared" si="0"/>
        <v>299.84999999999997</v>
      </c>
      <c r="M45" s="50" t="s">
        <v>26</v>
      </c>
      <c r="N45" s="52">
        <v>25</v>
      </c>
      <c r="O45" s="53">
        <v>0</v>
      </c>
      <c r="P45" s="55">
        <v>88</v>
      </c>
      <c r="Q45" s="14" t="s">
        <v>246</v>
      </c>
    </row>
    <row r="46" spans="1:17" x14ac:dyDescent="0.25">
      <c r="A46" s="44">
        <v>44593</v>
      </c>
      <c r="B46" s="14" t="s">
        <v>66</v>
      </c>
      <c r="C46" s="14" t="s">
        <v>13</v>
      </c>
      <c r="D46" s="15" t="s">
        <v>238</v>
      </c>
      <c r="E46" s="15" t="s">
        <v>86</v>
      </c>
      <c r="F46" s="15" t="s">
        <v>215</v>
      </c>
      <c r="G46" s="15" t="s">
        <v>143</v>
      </c>
      <c r="H46" s="15" t="s">
        <v>167</v>
      </c>
      <c r="I46" s="16" t="s">
        <v>87</v>
      </c>
      <c r="J46" s="17">
        <v>96</v>
      </c>
      <c r="K46" s="46">
        <v>4.99</v>
      </c>
      <c r="L46" s="48">
        <f t="shared" si="0"/>
        <v>479.04</v>
      </c>
      <c r="M46" s="50" t="s">
        <v>236</v>
      </c>
      <c r="N46" s="52">
        <v>30</v>
      </c>
      <c r="O46" s="53">
        <v>0</v>
      </c>
      <c r="P46" s="55">
        <v>82</v>
      </c>
      <c r="Q46" s="14" t="s">
        <v>244</v>
      </c>
    </row>
    <row r="47" spans="1:17" x14ac:dyDescent="0.25">
      <c r="A47" s="44">
        <v>44610</v>
      </c>
      <c r="B47" s="15" t="s">
        <v>70</v>
      </c>
      <c r="C47" s="15" t="s">
        <v>74</v>
      </c>
      <c r="D47" s="14" t="s">
        <v>238</v>
      </c>
      <c r="E47" s="14" t="s">
        <v>68</v>
      </c>
      <c r="F47" s="15" t="s">
        <v>216</v>
      </c>
      <c r="G47" s="15" t="s">
        <v>144</v>
      </c>
      <c r="H47" s="15" t="s">
        <v>165</v>
      </c>
      <c r="I47" s="16" t="s">
        <v>90</v>
      </c>
      <c r="J47" s="17">
        <v>67</v>
      </c>
      <c r="K47" s="46">
        <v>1.29</v>
      </c>
      <c r="L47" s="48">
        <f t="shared" si="0"/>
        <v>86.43</v>
      </c>
      <c r="M47" s="50" t="s">
        <v>236</v>
      </c>
      <c r="N47" s="52">
        <v>17</v>
      </c>
      <c r="O47" s="53">
        <v>0</v>
      </c>
      <c r="P47" s="55">
        <v>52</v>
      </c>
      <c r="Q47" s="15" t="s">
        <v>245</v>
      </c>
    </row>
    <row r="48" spans="1:17" x14ac:dyDescent="0.25">
      <c r="A48" s="44">
        <v>44627</v>
      </c>
      <c r="B48" s="14" t="s">
        <v>70</v>
      </c>
      <c r="C48" s="15" t="s">
        <v>15</v>
      </c>
      <c r="D48" s="14" t="s">
        <v>239</v>
      </c>
      <c r="E48" s="14" t="s">
        <v>82</v>
      </c>
      <c r="F48" s="15" t="s">
        <v>217</v>
      </c>
      <c r="G48" s="15" t="s">
        <v>145</v>
      </c>
      <c r="H48" s="15" t="s">
        <v>164</v>
      </c>
      <c r="I48" s="16" t="s">
        <v>72</v>
      </c>
      <c r="J48" s="17">
        <v>74</v>
      </c>
      <c r="K48" s="46">
        <v>15.99</v>
      </c>
      <c r="L48" s="48">
        <f t="shared" si="0"/>
        <v>1183.26</v>
      </c>
      <c r="M48" s="50" t="s">
        <v>236</v>
      </c>
      <c r="N48" s="52">
        <v>47</v>
      </c>
      <c r="O48" s="53">
        <v>0</v>
      </c>
      <c r="P48" s="55">
        <v>83</v>
      </c>
      <c r="Q48" s="14" t="s">
        <v>245</v>
      </c>
    </row>
    <row r="49" spans="1:17" x14ac:dyDescent="0.25">
      <c r="A49" s="44">
        <v>44644</v>
      </c>
      <c r="B49" s="14" t="s">
        <v>77</v>
      </c>
      <c r="C49" s="14" t="s">
        <v>78</v>
      </c>
      <c r="D49" s="14" t="s">
        <v>238</v>
      </c>
      <c r="E49" s="14" t="s">
        <v>68</v>
      </c>
      <c r="F49" s="15" t="s">
        <v>218</v>
      </c>
      <c r="G49" s="15" t="s">
        <v>146</v>
      </c>
      <c r="H49" s="14" t="s">
        <v>166</v>
      </c>
      <c r="I49" s="16" t="s">
        <v>76</v>
      </c>
      <c r="J49" s="17">
        <v>46</v>
      </c>
      <c r="K49" s="46">
        <v>8.99</v>
      </c>
      <c r="L49" s="48">
        <f t="shared" si="0"/>
        <v>413.54</v>
      </c>
      <c r="M49" s="50" t="s">
        <v>26</v>
      </c>
      <c r="N49" s="52">
        <v>24</v>
      </c>
      <c r="O49" s="53">
        <v>0</v>
      </c>
      <c r="P49" s="55">
        <v>50</v>
      </c>
      <c r="Q49" s="14" t="s">
        <v>246</v>
      </c>
    </row>
    <row r="50" spans="1:17" x14ac:dyDescent="0.25">
      <c r="A50" s="44">
        <v>44661</v>
      </c>
      <c r="B50" s="14" t="s">
        <v>66</v>
      </c>
      <c r="C50" s="15" t="s">
        <v>83</v>
      </c>
      <c r="D50" s="15" t="s">
        <v>235</v>
      </c>
      <c r="E50" s="15" t="s">
        <v>85</v>
      </c>
      <c r="F50" s="15" t="s">
        <v>219</v>
      </c>
      <c r="G50" s="15" t="s">
        <v>147</v>
      </c>
      <c r="H50" s="15" t="s">
        <v>168</v>
      </c>
      <c r="I50" s="16" t="s">
        <v>76</v>
      </c>
      <c r="J50" s="17">
        <v>87</v>
      </c>
      <c r="K50" s="46">
        <v>15</v>
      </c>
      <c r="L50" s="48">
        <f t="shared" si="0"/>
        <v>1305</v>
      </c>
      <c r="M50" s="50" t="s">
        <v>26</v>
      </c>
      <c r="N50" s="52">
        <v>43</v>
      </c>
      <c r="O50" s="53">
        <v>0</v>
      </c>
      <c r="P50" s="55">
        <v>58</v>
      </c>
      <c r="Q50" s="14" t="s">
        <v>244</v>
      </c>
    </row>
    <row r="51" spans="1:17" x14ac:dyDescent="0.25">
      <c r="A51" s="44">
        <v>44678</v>
      </c>
      <c r="B51" s="14" t="s">
        <v>70</v>
      </c>
      <c r="C51" s="14" t="s">
        <v>78</v>
      </c>
      <c r="D51" s="15" t="s">
        <v>239</v>
      </c>
      <c r="E51" s="15" t="s">
        <v>71</v>
      </c>
      <c r="F51" s="15" t="s">
        <v>220</v>
      </c>
      <c r="G51" s="15" t="s">
        <v>148</v>
      </c>
      <c r="H51" s="15" t="s">
        <v>167</v>
      </c>
      <c r="I51" s="16" t="s">
        <v>90</v>
      </c>
      <c r="J51" s="17">
        <v>4</v>
      </c>
      <c r="K51" s="46">
        <v>4.99</v>
      </c>
      <c r="L51" s="48">
        <f t="shared" si="0"/>
        <v>19.96</v>
      </c>
      <c r="M51" s="50" t="s">
        <v>236</v>
      </c>
      <c r="N51" s="52">
        <v>32</v>
      </c>
      <c r="O51" s="53">
        <v>0</v>
      </c>
      <c r="P51" s="55">
        <v>63</v>
      </c>
      <c r="Q51" s="14" t="s">
        <v>245</v>
      </c>
    </row>
    <row r="52" spans="1:17" x14ac:dyDescent="0.25">
      <c r="A52" s="44">
        <v>44695</v>
      </c>
      <c r="B52" s="14" t="s">
        <v>66</v>
      </c>
      <c r="C52" s="14" t="s">
        <v>13</v>
      </c>
      <c r="D52" s="15" t="s">
        <v>238</v>
      </c>
      <c r="E52" s="15" t="s">
        <v>86</v>
      </c>
      <c r="F52" s="15" t="s">
        <v>221</v>
      </c>
      <c r="G52" s="15" t="s">
        <v>149</v>
      </c>
      <c r="H52" s="15" t="s">
        <v>165</v>
      </c>
      <c r="I52" s="16" t="s">
        <v>69</v>
      </c>
      <c r="J52" s="17">
        <v>7</v>
      </c>
      <c r="K52" s="46">
        <v>19.989999999999998</v>
      </c>
      <c r="L52" s="48">
        <f t="shared" si="0"/>
        <v>139.92999999999998</v>
      </c>
      <c r="M52" s="50" t="s">
        <v>26</v>
      </c>
      <c r="N52" s="52">
        <v>18</v>
      </c>
      <c r="O52" s="53">
        <v>0</v>
      </c>
      <c r="P52" s="55">
        <v>72</v>
      </c>
      <c r="Q52" s="14" t="s">
        <v>244</v>
      </c>
    </row>
    <row r="53" spans="1:17" x14ac:dyDescent="0.25">
      <c r="A53" s="44">
        <v>44712</v>
      </c>
      <c r="B53" s="15" t="s">
        <v>66</v>
      </c>
      <c r="C53" s="15" t="s">
        <v>83</v>
      </c>
      <c r="D53" s="15" t="s">
        <v>235</v>
      </c>
      <c r="E53" s="15" t="s">
        <v>85</v>
      </c>
      <c r="F53" s="15" t="s">
        <v>222</v>
      </c>
      <c r="G53" s="15" t="s">
        <v>150</v>
      </c>
      <c r="H53" s="15" t="s">
        <v>164</v>
      </c>
      <c r="I53" s="16" t="s">
        <v>88</v>
      </c>
      <c r="J53" s="17">
        <v>50</v>
      </c>
      <c r="K53" s="46">
        <v>4.99</v>
      </c>
      <c r="L53" s="48">
        <f t="shared" si="0"/>
        <v>249.5</v>
      </c>
      <c r="M53" s="50" t="s">
        <v>26</v>
      </c>
      <c r="N53" s="52">
        <v>27</v>
      </c>
      <c r="O53" s="53">
        <v>0</v>
      </c>
      <c r="P53" s="55">
        <v>71</v>
      </c>
      <c r="Q53" s="15" t="s">
        <v>244</v>
      </c>
    </row>
    <row r="54" spans="1:17" x14ac:dyDescent="0.25">
      <c r="A54" s="44">
        <v>44729</v>
      </c>
      <c r="B54" s="14" t="s">
        <v>66</v>
      </c>
      <c r="C54" s="15" t="s">
        <v>83</v>
      </c>
      <c r="D54" s="15" t="s">
        <v>235</v>
      </c>
      <c r="E54" s="15" t="s">
        <v>75</v>
      </c>
      <c r="F54" s="15" t="s">
        <v>223</v>
      </c>
      <c r="G54" s="15" t="s">
        <v>151</v>
      </c>
      <c r="H54" s="14" t="s">
        <v>166</v>
      </c>
      <c r="I54" s="16" t="s">
        <v>90</v>
      </c>
      <c r="J54" s="17">
        <v>66</v>
      </c>
      <c r="K54" s="46">
        <v>1.99</v>
      </c>
      <c r="L54" s="48">
        <f t="shared" si="0"/>
        <v>131.34</v>
      </c>
      <c r="M54" s="50" t="s">
        <v>236</v>
      </c>
      <c r="N54" s="52">
        <v>46</v>
      </c>
      <c r="O54" s="53">
        <v>0</v>
      </c>
      <c r="P54" s="55">
        <v>80</v>
      </c>
      <c r="Q54" s="14" t="s">
        <v>244</v>
      </c>
    </row>
    <row r="55" spans="1:17" x14ac:dyDescent="0.25">
      <c r="A55" s="44">
        <v>44746</v>
      </c>
      <c r="B55" s="15" t="s">
        <v>70</v>
      </c>
      <c r="C55" s="15" t="s">
        <v>74</v>
      </c>
      <c r="D55" s="15" t="s">
        <v>238</v>
      </c>
      <c r="E55" s="15" t="s">
        <v>86</v>
      </c>
      <c r="F55" s="15" t="s">
        <v>224</v>
      </c>
      <c r="G55" s="15" t="s">
        <v>152</v>
      </c>
      <c r="H55" s="15" t="s">
        <v>168</v>
      </c>
      <c r="I55" s="16" t="s">
        <v>72</v>
      </c>
      <c r="J55" s="17">
        <v>96</v>
      </c>
      <c r="K55" s="46">
        <v>4.99</v>
      </c>
      <c r="L55" s="48">
        <f t="shared" si="0"/>
        <v>479.04</v>
      </c>
      <c r="M55" s="50" t="s">
        <v>236</v>
      </c>
      <c r="N55" s="52">
        <v>46</v>
      </c>
      <c r="O55" s="53">
        <v>0</v>
      </c>
      <c r="P55" s="55">
        <v>63</v>
      </c>
      <c r="Q55" s="15" t="s">
        <v>245</v>
      </c>
    </row>
    <row r="56" spans="1:17" x14ac:dyDescent="0.25">
      <c r="A56" s="44">
        <v>44763</v>
      </c>
      <c r="B56" s="14" t="s">
        <v>66</v>
      </c>
      <c r="C56" s="14" t="s">
        <v>13</v>
      </c>
      <c r="D56" s="14" t="s">
        <v>238</v>
      </c>
      <c r="E56" s="14" t="s">
        <v>68</v>
      </c>
      <c r="F56" s="15" t="s">
        <v>225</v>
      </c>
      <c r="G56" s="15" t="s">
        <v>153</v>
      </c>
      <c r="H56" s="15" t="s">
        <v>167</v>
      </c>
      <c r="I56" s="16" t="s">
        <v>72</v>
      </c>
      <c r="J56" s="17">
        <v>53</v>
      </c>
      <c r="K56" s="46">
        <v>1.29</v>
      </c>
      <c r="L56" s="48">
        <f t="shared" si="0"/>
        <v>68.37</v>
      </c>
      <c r="M56" s="50" t="s">
        <v>26</v>
      </c>
      <c r="N56" s="52">
        <v>44</v>
      </c>
      <c r="O56" s="53">
        <v>0</v>
      </c>
      <c r="P56" s="55">
        <v>67</v>
      </c>
      <c r="Q56" s="14" t="s">
        <v>244</v>
      </c>
    </row>
    <row r="57" spans="1:17" x14ac:dyDescent="0.25">
      <c r="A57" s="44">
        <v>44780</v>
      </c>
      <c r="B57" s="14" t="s">
        <v>70</v>
      </c>
      <c r="C57" s="14" t="s">
        <v>78</v>
      </c>
      <c r="D57" s="15" t="s">
        <v>238</v>
      </c>
      <c r="E57" s="15" t="s">
        <v>79</v>
      </c>
      <c r="F57" s="15" t="s">
        <v>226</v>
      </c>
      <c r="G57" s="15" t="s">
        <v>154</v>
      </c>
      <c r="H57" s="15" t="s">
        <v>165</v>
      </c>
      <c r="I57" s="16" t="s">
        <v>59</v>
      </c>
      <c r="J57" s="17">
        <v>80</v>
      </c>
      <c r="K57" s="46">
        <v>8.99</v>
      </c>
      <c r="L57" s="48">
        <f t="shared" si="0"/>
        <v>719.2</v>
      </c>
      <c r="M57" s="50" t="s">
        <v>26</v>
      </c>
      <c r="N57" s="52">
        <v>30</v>
      </c>
      <c r="O57" s="53">
        <v>0</v>
      </c>
      <c r="P57" s="55">
        <v>69</v>
      </c>
      <c r="Q57" s="14" t="s">
        <v>245</v>
      </c>
    </row>
    <row r="58" spans="1:17" x14ac:dyDescent="0.25">
      <c r="A58" s="44">
        <v>44797</v>
      </c>
      <c r="B58" s="14" t="s">
        <v>66</v>
      </c>
      <c r="C58" s="15" t="s">
        <v>83</v>
      </c>
      <c r="D58" s="15" t="s">
        <v>240</v>
      </c>
      <c r="E58" s="15" t="s">
        <v>73</v>
      </c>
      <c r="F58" s="15" t="s">
        <v>227</v>
      </c>
      <c r="G58" s="15" t="s">
        <v>155</v>
      </c>
      <c r="H58" s="15" t="s">
        <v>164</v>
      </c>
      <c r="I58" s="16" t="s">
        <v>88</v>
      </c>
      <c r="J58" s="17">
        <v>5</v>
      </c>
      <c r="K58" s="46">
        <v>125</v>
      </c>
      <c r="L58" s="48">
        <f t="shared" si="0"/>
        <v>625</v>
      </c>
      <c r="M58" s="50" t="s">
        <v>26</v>
      </c>
      <c r="N58" s="52">
        <v>37</v>
      </c>
      <c r="O58" s="53">
        <v>0</v>
      </c>
      <c r="P58" s="55">
        <v>52</v>
      </c>
      <c r="Q58" s="14" t="s">
        <v>244</v>
      </c>
    </row>
    <row r="59" spans="1:17" x14ac:dyDescent="0.25">
      <c r="A59" s="44">
        <v>44814</v>
      </c>
      <c r="B59" s="15" t="s">
        <v>66</v>
      </c>
      <c r="C59" s="14" t="s">
        <v>13</v>
      </c>
      <c r="D59" s="15" t="s">
        <v>239</v>
      </c>
      <c r="E59" s="15" t="s">
        <v>80</v>
      </c>
      <c r="F59" s="15" t="s">
        <v>228</v>
      </c>
      <c r="G59" s="15" t="s">
        <v>156</v>
      </c>
      <c r="H59" s="14" t="s">
        <v>166</v>
      </c>
      <c r="I59" s="16" t="s">
        <v>89</v>
      </c>
      <c r="J59" s="17">
        <v>62</v>
      </c>
      <c r="K59" s="46">
        <v>4.99</v>
      </c>
      <c r="L59" s="48">
        <f t="shared" si="0"/>
        <v>309.38</v>
      </c>
      <c r="M59" s="50" t="s">
        <v>236</v>
      </c>
      <c r="N59" s="52">
        <v>39</v>
      </c>
      <c r="O59" s="53">
        <v>0</v>
      </c>
      <c r="P59" s="55">
        <v>88</v>
      </c>
      <c r="Q59" s="15" t="s">
        <v>244</v>
      </c>
    </row>
    <row r="60" spans="1:17" x14ac:dyDescent="0.25">
      <c r="A60" s="44">
        <v>44831</v>
      </c>
      <c r="B60" s="14" t="s">
        <v>77</v>
      </c>
      <c r="C60" s="15" t="s">
        <v>14</v>
      </c>
      <c r="D60" s="14" t="s">
        <v>240</v>
      </c>
      <c r="E60" s="14" t="s">
        <v>84</v>
      </c>
      <c r="F60" s="15" t="s">
        <v>229</v>
      </c>
      <c r="G60" s="15" t="s">
        <v>157</v>
      </c>
      <c r="H60" s="15" t="s">
        <v>168</v>
      </c>
      <c r="I60" s="16" t="s">
        <v>76</v>
      </c>
      <c r="J60" s="17">
        <v>55</v>
      </c>
      <c r="K60" s="46">
        <v>12.49</v>
      </c>
      <c r="L60" s="48">
        <f t="shared" si="0"/>
        <v>686.95</v>
      </c>
      <c r="M60" s="50" t="s">
        <v>236</v>
      </c>
      <c r="N60" s="52">
        <v>11</v>
      </c>
      <c r="O60" s="53">
        <v>0</v>
      </c>
      <c r="P60" s="55">
        <v>82</v>
      </c>
      <c r="Q60" s="14" t="s">
        <v>246</v>
      </c>
    </row>
    <row r="61" spans="1:17" x14ac:dyDescent="0.25">
      <c r="A61" s="44">
        <v>44848</v>
      </c>
      <c r="B61" s="15" t="s">
        <v>70</v>
      </c>
      <c r="C61" s="15" t="s">
        <v>74</v>
      </c>
      <c r="D61" s="15" t="s">
        <v>235</v>
      </c>
      <c r="E61" s="15" t="s">
        <v>75</v>
      </c>
      <c r="F61" s="15" t="s">
        <v>230</v>
      </c>
      <c r="G61" s="15" t="s">
        <v>158</v>
      </c>
      <c r="H61" s="15" t="s">
        <v>167</v>
      </c>
      <c r="I61" s="16" t="s">
        <v>69</v>
      </c>
      <c r="J61" s="17">
        <v>42</v>
      </c>
      <c r="K61" s="46">
        <v>23.95</v>
      </c>
      <c r="L61" s="48">
        <f t="shared" si="0"/>
        <v>1005.9</v>
      </c>
      <c r="M61" s="50" t="s">
        <v>26</v>
      </c>
      <c r="N61" s="52">
        <v>19</v>
      </c>
      <c r="O61" s="53">
        <v>0</v>
      </c>
      <c r="P61" s="55">
        <v>52</v>
      </c>
      <c r="Q61" s="15" t="s">
        <v>245</v>
      </c>
    </row>
    <row r="62" spans="1:17" x14ac:dyDescent="0.25">
      <c r="A62" s="44">
        <v>44865</v>
      </c>
      <c r="B62" s="14" t="s">
        <v>77</v>
      </c>
      <c r="C62" s="15" t="s">
        <v>14</v>
      </c>
      <c r="D62" s="15" t="s">
        <v>235</v>
      </c>
      <c r="E62" s="15" t="s">
        <v>75</v>
      </c>
      <c r="F62" s="15" t="s">
        <v>231</v>
      </c>
      <c r="G62" s="15" t="s">
        <v>159</v>
      </c>
      <c r="H62" s="15" t="s">
        <v>165</v>
      </c>
      <c r="I62" s="16" t="s">
        <v>72</v>
      </c>
      <c r="J62" s="17">
        <v>56</v>
      </c>
      <c r="K62" s="46">
        <v>2.99</v>
      </c>
      <c r="L62" s="48">
        <f t="shared" si="0"/>
        <v>167.44</v>
      </c>
      <c r="M62" s="50" t="s">
        <v>26</v>
      </c>
      <c r="N62" s="52">
        <v>36</v>
      </c>
      <c r="O62" s="53">
        <v>0</v>
      </c>
      <c r="P62" s="55">
        <v>83</v>
      </c>
      <c r="Q62" s="14" t="s">
        <v>246</v>
      </c>
    </row>
    <row r="63" spans="1:17" x14ac:dyDescent="0.25">
      <c r="A63" s="44">
        <v>44882</v>
      </c>
      <c r="B63" s="14" t="s">
        <v>77</v>
      </c>
      <c r="C63" s="14" t="s">
        <v>78</v>
      </c>
      <c r="D63" s="14" t="s">
        <v>239</v>
      </c>
      <c r="E63" s="14" t="s">
        <v>71</v>
      </c>
      <c r="F63" s="15" t="s">
        <v>232</v>
      </c>
      <c r="G63" s="15" t="s">
        <v>160</v>
      </c>
      <c r="H63" s="15" t="s">
        <v>164</v>
      </c>
      <c r="I63" s="16" t="s">
        <v>87</v>
      </c>
      <c r="J63" s="17">
        <v>60</v>
      </c>
      <c r="K63" s="46">
        <v>4.99</v>
      </c>
      <c r="L63" s="48">
        <f t="shared" si="0"/>
        <v>299.40000000000003</v>
      </c>
      <c r="M63" s="50" t="s">
        <v>26</v>
      </c>
      <c r="N63" s="52">
        <v>15</v>
      </c>
      <c r="O63" s="53">
        <v>0</v>
      </c>
      <c r="P63" s="55">
        <v>50</v>
      </c>
      <c r="Q63" s="14" t="s">
        <v>246</v>
      </c>
    </row>
    <row r="64" spans="1:17" x14ac:dyDescent="0.25">
      <c r="A64" s="44">
        <v>44899</v>
      </c>
      <c r="B64" s="15" t="s">
        <v>70</v>
      </c>
      <c r="C64" s="15" t="s">
        <v>15</v>
      </c>
      <c r="D64" s="15" t="s">
        <v>238</v>
      </c>
      <c r="E64" s="15" t="s">
        <v>68</v>
      </c>
      <c r="F64" s="15" t="s">
        <v>233</v>
      </c>
      <c r="G64" s="15" t="s">
        <v>161</v>
      </c>
      <c r="H64" s="14" t="s">
        <v>166</v>
      </c>
      <c r="I64" s="16" t="s">
        <v>88</v>
      </c>
      <c r="J64" s="17">
        <v>75</v>
      </c>
      <c r="K64" s="46">
        <v>1.99</v>
      </c>
      <c r="L64" s="48">
        <f t="shared" si="0"/>
        <v>149.25</v>
      </c>
      <c r="M64" s="50" t="s">
        <v>26</v>
      </c>
      <c r="N64" s="52">
        <v>10</v>
      </c>
      <c r="O64" s="53">
        <v>0</v>
      </c>
      <c r="P64" s="55">
        <v>52</v>
      </c>
      <c r="Q64" s="15" t="s">
        <v>245</v>
      </c>
    </row>
    <row r="65" spans="1:17" x14ac:dyDescent="0.25">
      <c r="A65" s="44">
        <v>44916</v>
      </c>
      <c r="B65" s="14" t="s">
        <v>70</v>
      </c>
      <c r="C65" s="14" t="s">
        <v>78</v>
      </c>
      <c r="D65" s="14" t="s">
        <v>239</v>
      </c>
      <c r="E65" s="14" t="s">
        <v>82</v>
      </c>
      <c r="F65" s="15" t="s">
        <v>234</v>
      </c>
      <c r="G65" s="15" t="s">
        <v>162</v>
      </c>
      <c r="H65" s="15" t="s">
        <v>168</v>
      </c>
      <c r="I65" s="16" t="s">
        <v>90</v>
      </c>
      <c r="J65" s="17">
        <v>90</v>
      </c>
      <c r="K65" s="46">
        <v>4.99</v>
      </c>
      <c r="L65" s="48">
        <f t="shared" si="0"/>
        <v>449.1</v>
      </c>
      <c r="M65" s="50" t="s">
        <v>236</v>
      </c>
      <c r="N65" s="52">
        <v>40</v>
      </c>
      <c r="O65" s="53">
        <v>0</v>
      </c>
      <c r="P65" s="55">
        <v>83</v>
      </c>
      <c r="Q65" s="14" t="s">
        <v>245</v>
      </c>
    </row>
    <row r="66" spans="1:17" x14ac:dyDescent="0.2">
      <c r="N66"/>
      <c r="O66"/>
      <c r="P66" s="54"/>
      <c r="Q66"/>
    </row>
    <row r="67" spans="1:17" x14ac:dyDescent="0.2">
      <c r="N67"/>
      <c r="O67"/>
      <c r="P67" s="54"/>
      <c r="Q67"/>
    </row>
    <row r="68" spans="1:17" x14ac:dyDescent="0.2">
      <c r="N68"/>
      <c r="O68"/>
      <c r="P68" s="54"/>
      <c r="Q68"/>
    </row>
    <row r="69" spans="1:17" x14ac:dyDescent="0.2">
      <c r="N69"/>
      <c r="O69"/>
      <c r="P69" s="54"/>
      <c r="Q69"/>
    </row>
    <row r="70" spans="1:17" x14ac:dyDescent="0.2">
      <c r="N70"/>
      <c r="O70"/>
      <c r="P70"/>
      <c r="Q70"/>
    </row>
    <row r="71" spans="1:17" x14ac:dyDescent="0.2">
      <c r="N71"/>
      <c r="O71"/>
      <c r="P71"/>
      <c r="Q71"/>
    </row>
    <row r="72" spans="1:17" x14ac:dyDescent="0.2">
      <c r="N72"/>
      <c r="O72"/>
      <c r="P72"/>
      <c r="Q72"/>
    </row>
    <row r="73" spans="1:17" x14ac:dyDescent="0.2">
      <c r="N73"/>
      <c r="O73"/>
      <c r="P73"/>
      <c r="Q73"/>
    </row>
    <row r="74" spans="1:17" x14ac:dyDescent="0.2">
      <c r="N74"/>
      <c r="O74"/>
      <c r="P74"/>
      <c r="Q74"/>
    </row>
    <row r="75" spans="1:17" x14ac:dyDescent="0.2">
      <c r="N75"/>
      <c r="O75"/>
      <c r="P75"/>
      <c r="Q75"/>
    </row>
    <row r="76" spans="1:17" x14ac:dyDescent="0.2">
      <c r="N76"/>
      <c r="O76"/>
      <c r="P76"/>
      <c r="Q76"/>
    </row>
    <row r="77" spans="1:17" x14ac:dyDescent="0.2">
      <c r="N77"/>
      <c r="O77"/>
      <c r="P77"/>
      <c r="Q77"/>
    </row>
    <row r="78" spans="1:17" x14ac:dyDescent="0.2">
      <c r="N78"/>
      <c r="O78"/>
      <c r="P78"/>
      <c r="Q78"/>
    </row>
    <row r="79" spans="1:17" x14ac:dyDescent="0.2">
      <c r="N79"/>
      <c r="O79"/>
      <c r="P79"/>
      <c r="Q79"/>
    </row>
    <row r="80" spans="1:17" x14ac:dyDescent="0.2">
      <c r="N80"/>
      <c r="O80"/>
      <c r="P80"/>
      <c r="Q80"/>
    </row>
    <row r="81" spans="14:17" x14ac:dyDescent="0.2">
      <c r="N81"/>
      <c r="O81"/>
      <c r="P81"/>
      <c r="Q81"/>
    </row>
    <row r="82" spans="14:17" x14ac:dyDescent="0.2">
      <c r="N82"/>
      <c r="O82"/>
      <c r="P82"/>
      <c r="Q82"/>
    </row>
    <row r="83" spans="14:17" x14ac:dyDescent="0.2">
      <c r="N83"/>
      <c r="O83"/>
      <c r="P83"/>
      <c r="Q83"/>
    </row>
    <row r="84" spans="14:17" x14ac:dyDescent="0.2">
      <c r="N84"/>
      <c r="O84"/>
      <c r="P84"/>
    </row>
    <row r="85" spans="14:17" x14ac:dyDescent="0.2">
      <c r="N85"/>
      <c r="O85"/>
      <c r="P85"/>
    </row>
    <row r="86" spans="14:17" x14ac:dyDescent="0.2">
      <c r="N86"/>
      <c r="O86"/>
      <c r="P86"/>
    </row>
    <row r="1048576" spans="13:16" x14ac:dyDescent="0.2">
      <c r="M1048576" s="50" t="s">
        <v>236</v>
      </c>
      <c r="N1048576"/>
      <c r="O1048576"/>
      <c r="P1048576" s="54"/>
    </row>
  </sheetData>
  <phoneticPr fontId="13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19" workbookViewId="0">
      <selection activeCell="G20" sqref="G20"/>
    </sheetView>
  </sheetViews>
  <sheetFormatPr defaultColWidth="13.5703125" defaultRowHeight="22.15" customHeight="1" x14ac:dyDescent="0.2"/>
  <cols>
    <col min="6" max="6" width="13.5703125" customWidth="1"/>
    <col min="9" max="9" width="23" customWidth="1"/>
    <col min="10" max="10" width="17.28515625" customWidth="1"/>
    <col min="11" max="11" width="21.5703125" customWidth="1"/>
    <col min="12" max="12" width="17.5703125" customWidth="1"/>
    <col min="13" max="13" width="13.5703125" customWidth="1"/>
    <col min="14" max="14" width="14.28515625" customWidth="1"/>
    <col min="16" max="16" width="7" customWidth="1"/>
  </cols>
  <sheetData>
    <row r="1" spans="1:14" ht="22.15" customHeight="1" x14ac:dyDescent="0.2">
      <c r="A1" s="32" t="s">
        <v>62</v>
      </c>
      <c r="B1" s="32" t="s">
        <v>63</v>
      </c>
      <c r="C1" s="33" t="s">
        <v>64</v>
      </c>
      <c r="D1" s="34" t="s">
        <v>22</v>
      </c>
      <c r="E1" s="35" t="s">
        <v>65</v>
      </c>
      <c r="F1" s="35" t="s">
        <v>16</v>
      </c>
      <c r="I1" s="57" t="s">
        <v>248</v>
      </c>
      <c r="J1" s="57" t="s">
        <v>249</v>
      </c>
    </row>
    <row r="2" spans="1:14" ht="22.15" customHeight="1" x14ac:dyDescent="0.2">
      <c r="A2" s="36" t="s">
        <v>67</v>
      </c>
      <c r="B2" s="37" t="s">
        <v>68</v>
      </c>
      <c r="C2" s="38" t="s">
        <v>69</v>
      </c>
      <c r="D2" s="39">
        <v>95</v>
      </c>
      <c r="E2" s="40">
        <v>1.99</v>
      </c>
      <c r="F2" s="41">
        <f t="shared" ref="F2:F10" si="0">E2*D2</f>
        <v>189.05</v>
      </c>
      <c r="I2" s="58" t="s">
        <v>265</v>
      </c>
      <c r="J2" s="60">
        <v>0.6</v>
      </c>
      <c r="L2" s="57" t="s">
        <v>64</v>
      </c>
      <c r="M2" s="57" t="s">
        <v>251</v>
      </c>
    </row>
    <row r="3" spans="1:14" ht="22.15" customHeight="1" x14ac:dyDescent="0.25">
      <c r="A3" s="36" t="s">
        <v>78</v>
      </c>
      <c r="B3" s="36" t="s">
        <v>71</v>
      </c>
      <c r="C3" s="38" t="s">
        <v>72</v>
      </c>
      <c r="D3" s="39">
        <v>50</v>
      </c>
      <c r="E3" s="40">
        <v>19.989999999999998</v>
      </c>
      <c r="F3" s="41">
        <f t="shared" si="0"/>
        <v>999.49999999999989</v>
      </c>
      <c r="I3" s="59" t="s">
        <v>267</v>
      </c>
      <c r="J3" s="60">
        <v>0.9</v>
      </c>
      <c r="L3" s="58" t="s">
        <v>69</v>
      </c>
      <c r="M3" s="55">
        <v>75</v>
      </c>
    </row>
    <row r="4" spans="1:14" ht="22.15" customHeight="1" x14ac:dyDescent="0.25">
      <c r="A4" s="37" t="s">
        <v>15</v>
      </c>
      <c r="B4" s="37" t="s">
        <v>73</v>
      </c>
      <c r="C4" s="38" t="s">
        <v>98</v>
      </c>
      <c r="D4" s="39">
        <v>36</v>
      </c>
      <c r="E4" s="40">
        <v>4.99</v>
      </c>
      <c r="F4" s="41">
        <f>E4*D4</f>
        <v>179.64000000000001</v>
      </c>
      <c r="I4" s="58" t="s">
        <v>268</v>
      </c>
      <c r="J4" s="60">
        <v>0.95</v>
      </c>
      <c r="L4" s="59" t="s">
        <v>72</v>
      </c>
      <c r="M4" s="55">
        <v>62</v>
      </c>
    </row>
    <row r="5" spans="1:14" ht="22.15" customHeight="1" x14ac:dyDescent="0.25">
      <c r="A5" s="37" t="s">
        <v>74</v>
      </c>
      <c r="B5" s="37" t="s">
        <v>75</v>
      </c>
      <c r="C5" s="38" t="s">
        <v>76</v>
      </c>
      <c r="D5" s="39">
        <v>27</v>
      </c>
      <c r="E5" s="40">
        <v>19.989999999999998</v>
      </c>
      <c r="F5" s="41">
        <f t="shared" si="0"/>
        <v>539.7299999999999</v>
      </c>
      <c r="I5" s="59" t="s">
        <v>269</v>
      </c>
      <c r="J5" s="60">
        <v>0.5</v>
      </c>
      <c r="L5" s="58" t="s">
        <v>98</v>
      </c>
      <c r="M5" s="55">
        <v>58</v>
      </c>
    </row>
    <row r="6" spans="1:14" ht="22.15" customHeight="1" x14ac:dyDescent="0.25">
      <c r="A6" s="36" t="s">
        <v>78</v>
      </c>
      <c r="B6" s="37" t="s">
        <v>79</v>
      </c>
      <c r="C6" s="38" t="s">
        <v>69</v>
      </c>
      <c r="D6" s="39">
        <v>56</v>
      </c>
      <c r="E6" s="40">
        <v>2.99</v>
      </c>
      <c r="F6" s="41">
        <f t="shared" si="0"/>
        <v>167.44</v>
      </c>
      <c r="I6" t="s">
        <v>250</v>
      </c>
      <c r="J6" s="60">
        <v>0.93</v>
      </c>
      <c r="L6" s="59" t="s">
        <v>76</v>
      </c>
      <c r="M6" s="55">
        <v>63</v>
      </c>
    </row>
    <row r="7" spans="1:14" ht="22.15" customHeight="1" x14ac:dyDescent="0.2">
      <c r="A7" s="36" t="s">
        <v>67</v>
      </c>
      <c r="B7" s="36" t="s">
        <v>68</v>
      </c>
      <c r="C7" s="38" t="s">
        <v>72</v>
      </c>
      <c r="D7" s="39">
        <v>60</v>
      </c>
      <c r="E7" s="40">
        <v>4.99</v>
      </c>
      <c r="F7" s="41">
        <f t="shared" si="0"/>
        <v>299.40000000000003</v>
      </c>
      <c r="L7" s="58"/>
    </row>
    <row r="8" spans="1:14" ht="22.15" customHeight="1" x14ac:dyDescent="0.2">
      <c r="A8" s="37" t="s">
        <v>14</v>
      </c>
      <c r="B8" s="37" t="s">
        <v>80</v>
      </c>
      <c r="C8" s="38" t="s">
        <v>89</v>
      </c>
      <c r="D8" s="39">
        <v>75</v>
      </c>
      <c r="E8" s="40">
        <v>1.99</v>
      </c>
      <c r="F8" s="41">
        <f t="shared" si="0"/>
        <v>149.25</v>
      </c>
      <c r="I8" s="57" t="s">
        <v>16</v>
      </c>
      <c r="J8" s="57" t="s">
        <v>251</v>
      </c>
    </row>
    <row r="9" spans="1:14" ht="22.15" customHeight="1" x14ac:dyDescent="0.25">
      <c r="A9" s="37" t="s">
        <v>15</v>
      </c>
      <c r="B9" s="37" t="s">
        <v>73</v>
      </c>
      <c r="C9" s="38" t="s">
        <v>69</v>
      </c>
      <c r="D9" s="39">
        <v>90</v>
      </c>
      <c r="E9" s="40">
        <v>4.99</v>
      </c>
      <c r="F9" s="41">
        <f t="shared" si="0"/>
        <v>449.1</v>
      </c>
      <c r="I9" t="s">
        <v>252</v>
      </c>
      <c r="J9" s="61">
        <v>545</v>
      </c>
      <c r="L9" s="57" t="s">
        <v>266</v>
      </c>
      <c r="M9" s="57" t="s">
        <v>16</v>
      </c>
    </row>
    <row r="10" spans="1:14" ht="22.15" customHeight="1" x14ac:dyDescent="0.25">
      <c r="A10" s="37" t="s">
        <v>14</v>
      </c>
      <c r="B10" s="36" t="s">
        <v>81</v>
      </c>
      <c r="C10" s="38" t="s">
        <v>89</v>
      </c>
      <c r="D10" s="39">
        <v>32</v>
      </c>
      <c r="E10" s="40">
        <v>1.99</v>
      </c>
      <c r="F10" s="41">
        <f t="shared" si="0"/>
        <v>63.68</v>
      </c>
      <c r="I10" s="42" t="s">
        <v>253</v>
      </c>
      <c r="J10" s="61">
        <v>690</v>
      </c>
      <c r="L10" s="66" t="s">
        <v>68</v>
      </c>
      <c r="M10" s="66">
        <v>195</v>
      </c>
    </row>
    <row r="11" spans="1:14" ht="22.15" customHeight="1" x14ac:dyDescent="0.25">
      <c r="I11" t="s">
        <v>254</v>
      </c>
      <c r="J11" s="61">
        <v>59</v>
      </c>
      <c r="L11" s="70" t="s">
        <v>71</v>
      </c>
      <c r="M11" s="67">
        <v>150</v>
      </c>
    </row>
    <row r="12" spans="1:14" ht="22.15" customHeight="1" x14ac:dyDescent="0.25">
      <c r="I12" t="s">
        <v>255</v>
      </c>
      <c r="J12" s="61">
        <v>775</v>
      </c>
      <c r="L12" s="66" t="s">
        <v>73</v>
      </c>
      <c r="M12" s="66">
        <v>236</v>
      </c>
    </row>
    <row r="13" spans="1:14" ht="22.15" customHeight="1" x14ac:dyDescent="0.2">
      <c r="L13" s="67" t="s">
        <v>75</v>
      </c>
      <c r="M13" s="67">
        <v>227</v>
      </c>
    </row>
    <row r="14" spans="1:14" ht="22.15" customHeight="1" x14ac:dyDescent="0.2">
      <c r="L14" s="66" t="s">
        <v>79</v>
      </c>
      <c r="M14" s="66">
        <v>156</v>
      </c>
    </row>
    <row r="15" spans="1:14" ht="22.15" customHeight="1" x14ac:dyDescent="0.2">
      <c r="I15" s="57" t="s">
        <v>256</v>
      </c>
      <c r="J15" s="57" t="s">
        <v>257</v>
      </c>
    </row>
    <row r="16" spans="1:14" ht="22.15" customHeight="1" x14ac:dyDescent="0.2">
      <c r="I16" s="62" t="s">
        <v>74</v>
      </c>
      <c r="J16" s="66">
        <v>950</v>
      </c>
      <c r="L16" s="68" t="s">
        <v>258</v>
      </c>
      <c r="M16" s="68">
        <v>2021</v>
      </c>
      <c r="N16" s="68">
        <v>2022</v>
      </c>
    </row>
    <row r="17" spans="9:14" ht="22.15" customHeight="1" x14ac:dyDescent="0.2">
      <c r="I17" s="63" t="s">
        <v>78</v>
      </c>
      <c r="J17" s="67">
        <v>560</v>
      </c>
      <c r="L17" t="s">
        <v>5</v>
      </c>
      <c r="M17" s="69">
        <v>189.05</v>
      </c>
      <c r="N17" s="69">
        <v>161.19</v>
      </c>
    </row>
    <row r="18" spans="9:14" ht="22.15" customHeight="1" x14ac:dyDescent="0.2">
      <c r="I18" s="64" t="s">
        <v>67</v>
      </c>
      <c r="J18" s="66">
        <v>376</v>
      </c>
      <c r="L18" t="s">
        <v>6</v>
      </c>
      <c r="M18" s="69">
        <v>199.5</v>
      </c>
      <c r="N18" s="69">
        <v>174.65</v>
      </c>
    </row>
    <row r="19" spans="9:14" ht="22.15" customHeight="1" x14ac:dyDescent="0.2">
      <c r="I19" s="65" t="s">
        <v>14</v>
      </c>
      <c r="J19" s="67">
        <v>627</v>
      </c>
      <c r="L19" t="s">
        <v>7</v>
      </c>
      <c r="M19" s="69">
        <v>179.64000000000001</v>
      </c>
      <c r="N19" s="69">
        <v>200.55</v>
      </c>
    </row>
    <row r="20" spans="9:14" ht="22.15" customHeight="1" x14ac:dyDescent="0.2">
      <c r="I20" s="62" t="s">
        <v>15</v>
      </c>
      <c r="J20" s="66">
        <v>556</v>
      </c>
      <c r="L20" t="s">
        <v>8</v>
      </c>
      <c r="M20" s="69">
        <v>159.72999999999999</v>
      </c>
      <c r="N20" s="69">
        <v>205.84</v>
      </c>
    </row>
    <row r="21" spans="9:14" ht="22.15" customHeight="1" x14ac:dyDescent="0.2">
      <c r="I21" s="65" t="s">
        <v>14</v>
      </c>
      <c r="J21" s="67">
        <v>760</v>
      </c>
      <c r="L21" t="s">
        <v>9</v>
      </c>
      <c r="M21" s="69">
        <v>167.44</v>
      </c>
      <c r="N21" s="69">
        <v>251.72</v>
      </c>
    </row>
    <row r="22" spans="9:14" ht="22.15" customHeight="1" x14ac:dyDescent="0.2">
      <c r="L22" t="s">
        <v>10</v>
      </c>
      <c r="M22" s="69">
        <v>209.4</v>
      </c>
      <c r="N22" s="69">
        <v>17.36</v>
      </c>
    </row>
    <row r="23" spans="9:14" ht="22.15" customHeight="1" x14ac:dyDescent="0.2">
      <c r="L23" t="s">
        <v>259</v>
      </c>
      <c r="M23" s="69">
        <v>149.25</v>
      </c>
      <c r="N23" s="69">
        <v>299.84999999999997</v>
      </c>
    </row>
    <row r="24" spans="9:14" ht="22.15" customHeight="1" x14ac:dyDescent="0.2">
      <c r="L24" t="s">
        <v>260</v>
      </c>
      <c r="M24" s="69">
        <v>149.1</v>
      </c>
      <c r="N24" s="69">
        <v>149.04</v>
      </c>
    </row>
    <row r="25" spans="9:14" ht="22.15" customHeight="1" x14ac:dyDescent="0.2">
      <c r="L25" t="s">
        <v>261</v>
      </c>
      <c r="M25" s="69">
        <v>63.68</v>
      </c>
      <c r="N25" s="69">
        <v>86.43</v>
      </c>
    </row>
    <row r="26" spans="9:14" ht="22.15" customHeight="1" x14ac:dyDescent="0.2">
      <c r="L26" t="s">
        <v>262</v>
      </c>
      <c r="M26" s="69">
        <v>156.4</v>
      </c>
      <c r="N26" s="69">
        <v>183.26</v>
      </c>
    </row>
    <row r="27" spans="9:14" ht="22.15" customHeight="1" x14ac:dyDescent="0.2">
      <c r="L27" t="s">
        <v>263</v>
      </c>
      <c r="M27" s="69">
        <v>149.1</v>
      </c>
      <c r="N27" s="69">
        <v>143.54</v>
      </c>
    </row>
    <row r="28" spans="9:14" ht="22.15" customHeight="1" x14ac:dyDescent="0.2">
      <c r="L28" t="s">
        <v>264</v>
      </c>
      <c r="M28" s="69">
        <v>157.71</v>
      </c>
      <c r="N28" s="69">
        <v>130.15</v>
      </c>
    </row>
  </sheetData>
  <phoneticPr fontId="13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P35" sqref="P3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zoomScale="110" zoomScaleNormal="110" workbookViewId="0">
      <selection activeCell="B6" sqref="B6"/>
    </sheetView>
  </sheetViews>
  <sheetFormatPr defaultRowHeight="12.75" x14ac:dyDescent="0.2"/>
  <cols>
    <col min="1" max="1" width="13.85546875" bestFit="1" customWidth="1"/>
    <col min="2" max="2" width="15.7109375" bestFit="1" customWidth="1"/>
    <col min="3" max="3" width="16.140625" bestFit="1" customWidth="1"/>
  </cols>
  <sheetData>
    <row r="1" spans="1:3" x14ac:dyDescent="0.2">
      <c r="A1" s="18" t="s">
        <v>62</v>
      </c>
      <c r="B1" t="s">
        <v>53</v>
      </c>
    </row>
    <row r="3" spans="1:3" x14ac:dyDescent="0.2">
      <c r="A3" s="18" t="s">
        <v>54</v>
      </c>
      <c r="B3" t="s">
        <v>55</v>
      </c>
      <c r="C3" t="s">
        <v>56</v>
      </c>
    </row>
    <row r="4" spans="1:3" x14ac:dyDescent="0.2">
      <c r="A4" s="10" t="s">
        <v>72</v>
      </c>
      <c r="B4">
        <v>820</v>
      </c>
      <c r="C4">
        <v>9332.5700000000015</v>
      </c>
    </row>
    <row r="5" spans="1:3" x14ac:dyDescent="0.2">
      <c r="A5" s="10" t="s">
        <v>87</v>
      </c>
      <c r="B5">
        <v>166</v>
      </c>
      <c r="C5">
        <v>2478.44</v>
      </c>
    </row>
    <row r="6" spans="1:3" x14ac:dyDescent="0.2">
      <c r="A6" s="10" t="s">
        <v>76</v>
      </c>
      <c r="B6">
        <v>466</v>
      </c>
      <c r="C6">
        <v>4450.71</v>
      </c>
    </row>
    <row r="7" spans="1:3" x14ac:dyDescent="0.2">
      <c r="A7" s="10" t="s">
        <v>88</v>
      </c>
      <c r="B7">
        <v>367</v>
      </c>
      <c r="C7">
        <v>4405.2000000000007</v>
      </c>
    </row>
    <row r="8" spans="1:3" x14ac:dyDescent="0.2">
      <c r="A8" s="10" t="s">
        <v>69</v>
      </c>
      <c r="B8">
        <v>584</v>
      </c>
      <c r="C8">
        <v>2972.58</v>
      </c>
    </row>
    <row r="9" spans="1:3" x14ac:dyDescent="0.2">
      <c r="A9" s="10" t="s">
        <v>89</v>
      </c>
      <c r="B9">
        <v>258</v>
      </c>
      <c r="C9">
        <v>917.62</v>
      </c>
    </row>
    <row r="10" spans="1:3" x14ac:dyDescent="0.2">
      <c r="A10" s="10" t="s">
        <v>59</v>
      </c>
      <c r="B10">
        <v>261</v>
      </c>
      <c r="C10">
        <v>2862.3900000000003</v>
      </c>
    </row>
    <row r="11" spans="1:3" x14ac:dyDescent="0.2">
      <c r="A11" s="10" t="s">
        <v>90</v>
      </c>
      <c r="B11">
        <v>385</v>
      </c>
      <c r="C11">
        <v>1475.25</v>
      </c>
    </row>
    <row r="12" spans="1:3" x14ac:dyDescent="0.2">
      <c r="A12" s="10" t="s">
        <v>57</v>
      </c>
      <c r="B12">
        <v>3307</v>
      </c>
      <c r="C12">
        <v>28894.76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showGridLines="0" zoomScale="110" zoomScaleNormal="110" workbookViewId="0">
      <selection sqref="A1:F1"/>
    </sheetView>
  </sheetViews>
  <sheetFormatPr defaultRowHeight="12.75" x14ac:dyDescent="0.2"/>
  <cols>
    <col min="1" max="1" width="10.5703125" customWidth="1"/>
    <col min="4" max="4" width="10.28515625" customWidth="1"/>
    <col min="5" max="5" width="10.5703125" customWidth="1"/>
    <col min="6" max="6" width="10.42578125" customWidth="1"/>
  </cols>
  <sheetData>
    <row r="1" spans="1:6" ht="20.100000000000001" customHeight="1" x14ac:dyDescent="0.2">
      <c r="A1" s="28" t="s">
        <v>62</v>
      </c>
      <c r="B1" s="28" t="s">
        <v>58</v>
      </c>
      <c r="C1" s="28"/>
      <c r="D1" s="28" t="s">
        <v>62</v>
      </c>
      <c r="E1" s="28" t="s">
        <v>62</v>
      </c>
      <c r="F1" s="28" t="s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zoomScale="120" zoomScaleNormal="120" workbookViewId="0">
      <selection activeCell="H37" sqref="H37"/>
    </sheetView>
  </sheetViews>
  <sheetFormatPr defaultColWidth="9.140625" defaultRowHeight="15" x14ac:dyDescent="0.25"/>
  <cols>
    <col min="1" max="1" width="10.42578125" style="30" bestFit="1" customWidth="1"/>
    <col min="2" max="3" width="11.28515625" style="30" customWidth="1"/>
    <col min="4" max="16384" width="9.140625" style="30"/>
  </cols>
  <sheetData>
    <row r="1" spans="1:3" x14ac:dyDescent="0.25">
      <c r="A1" s="29" t="s">
        <v>61</v>
      </c>
      <c r="B1" s="29" t="s">
        <v>91</v>
      </c>
      <c r="C1" s="29" t="s">
        <v>92</v>
      </c>
    </row>
    <row r="2" spans="1:3" x14ac:dyDescent="0.25">
      <c r="A2" s="29" t="s">
        <v>93</v>
      </c>
      <c r="B2" s="31">
        <v>50000</v>
      </c>
      <c r="C2" s="31">
        <v>80000</v>
      </c>
    </row>
    <row r="3" spans="1:3" x14ac:dyDescent="0.25">
      <c r="A3" s="29" t="s">
        <v>94</v>
      </c>
      <c r="B3" s="31">
        <v>150000</v>
      </c>
      <c r="C3" s="31">
        <v>160000</v>
      </c>
    </row>
    <row r="4" spans="1:3" x14ac:dyDescent="0.25">
      <c r="A4" s="29" t="s">
        <v>95</v>
      </c>
      <c r="B4" s="31">
        <v>250000</v>
      </c>
      <c r="C4" s="31">
        <v>150000</v>
      </c>
    </row>
    <row r="5" spans="1:3" x14ac:dyDescent="0.25">
      <c r="A5" s="29" t="s">
        <v>96</v>
      </c>
      <c r="B5" s="31">
        <v>200000</v>
      </c>
      <c r="C5" s="31">
        <v>130000</v>
      </c>
    </row>
    <row r="6" spans="1:3" x14ac:dyDescent="0.25">
      <c r="A6" s="29" t="s">
        <v>97</v>
      </c>
      <c r="B6" s="31">
        <v>90000</v>
      </c>
      <c r="C6" s="31">
        <v>140000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Patterns</vt:lpstr>
      <vt:lpstr>Sum</vt:lpstr>
      <vt:lpstr>Chart</vt:lpstr>
      <vt:lpstr>Filter</vt:lpstr>
      <vt:lpstr>Lookup</vt:lpstr>
      <vt:lpstr>Assumptions</vt:lpstr>
      <vt:lpstr>Pivots</vt:lpstr>
      <vt:lpstr>Data</vt:lpstr>
      <vt:lpstr>Sheet1</vt:lpstr>
      <vt:lpstr>Sheet2</vt:lpstr>
      <vt:lpstr>Pivot</vt:lpstr>
      <vt:lpstr>AdvFilter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Exadaktylos</dc:creator>
  <cp:lastModifiedBy>Sandile</cp:lastModifiedBy>
  <dcterms:created xsi:type="dcterms:W3CDTF">2022-10-02T18:58:11Z</dcterms:created>
  <dcterms:modified xsi:type="dcterms:W3CDTF">2026-01-23T08:14:45Z</dcterms:modified>
</cp:coreProperties>
</file>